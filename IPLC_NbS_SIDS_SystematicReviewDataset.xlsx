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https://unioxfordnexus-my.sharepoint.com/personal/ball6240_ox_ac_uk/Documents/Year 4/IPLC_SIDS_NbS_Research/Year 4/TT26/FINAL DISS UPLOAD/"/>
    </mc:Choice>
  </mc:AlternateContent>
  <xr:revisionPtr revIDLastSave="362" documentId="13_ncr:1_{D89E0F3D-B11C-CA46-92EF-9A020E53DF66}" xr6:coauthVersionLast="47" xr6:coauthVersionMax="47" xr10:uidLastSave="{E3F272CD-B044-7D42-926F-A7AE9879BE1F}"/>
  <bookViews>
    <workbookView xWindow="0" yWindow="600" windowWidth="28800" windowHeight="16100" xr2:uid="{9E13D458-26B4-A14F-B8BB-F50E4AE2AC94}"/>
  </bookViews>
  <sheets>
    <sheet name="IPLC_NbS_SID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 l="1" a="1"/>
  <c r="V4" i="5" s="1"/>
  <c r="V47" i="5" a="1"/>
  <c r="V47" i="5" s="1"/>
  <c r="V48" i="5" a="1"/>
  <c r="V48" i="5" s="1"/>
  <c r="V49" i="5" a="1"/>
  <c r="V49" i="5" s="1"/>
  <c r="V50" i="5" a="1"/>
  <c r="V50" i="5" s="1"/>
  <c r="V51" i="5" a="1"/>
  <c r="V51" i="5" s="1"/>
  <c r="V52" i="5" a="1"/>
  <c r="V52" i="5" s="1"/>
  <c r="V53" i="5" a="1"/>
  <c r="V53" i="5" s="1"/>
  <c r="V54" i="5" a="1"/>
  <c r="V54" i="5" s="1"/>
  <c r="V55" i="5" a="1"/>
  <c r="V55" i="5" s="1"/>
  <c r="V56" i="5" a="1"/>
  <c r="V56" i="5" s="1"/>
  <c r="V33" i="5" a="1"/>
  <c r="V33" i="5" s="1"/>
  <c r="V34" i="5" a="1"/>
  <c r="V34" i="5" s="1"/>
  <c r="V35" i="5" a="1"/>
  <c r="V35" i="5" s="1"/>
  <c r="V36" i="5" a="1"/>
  <c r="V36" i="5" s="1"/>
  <c r="V37" i="5" a="1"/>
  <c r="V37" i="5" s="1"/>
  <c r="V38" i="5" a="1"/>
  <c r="V38" i="5" s="1"/>
  <c r="V39" i="5" a="1"/>
  <c r="V39" i="5" s="1"/>
  <c r="V40" i="5" a="1"/>
  <c r="V40" i="5" s="1"/>
  <c r="V41" i="5" a="1"/>
  <c r="V41" i="5" s="1"/>
  <c r="V42" i="5" a="1"/>
  <c r="V42" i="5" s="1"/>
  <c r="V43" i="5" a="1"/>
  <c r="V43" i="5"/>
  <c r="V44" i="5" a="1"/>
  <c r="V44" i="5" s="1"/>
  <c r="V45" i="5" a="1"/>
  <c r="V45" i="5" s="1"/>
  <c r="V46" i="5" a="1"/>
  <c r="V46" i="5" s="1"/>
  <c r="V5" i="5" a="1"/>
  <c r="V5" i="5" s="1"/>
  <c r="V6" i="5" a="1"/>
  <c r="V6" i="5" s="1"/>
  <c r="V7" i="5" a="1"/>
  <c r="V7" i="5" s="1"/>
  <c r="V8" i="5" a="1"/>
  <c r="V8" i="5"/>
  <c r="V9" i="5" a="1"/>
  <c r="V9" i="5" s="1"/>
  <c r="V10" i="5" a="1"/>
  <c r="V10" i="5" s="1"/>
  <c r="V11" i="5" a="1"/>
  <c r="V11" i="5" s="1"/>
  <c r="V12" i="5" a="1"/>
  <c r="V12" i="5" s="1"/>
  <c r="V13" i="5" a="1"/>
  <c r="V13" i="5" s="1"/>
  <c r="V14" i="5" a="1"/>
  <c r="V14" i="5" s="1"/>
  <c r="V15" i="5" a="1"/>
  <c r="V15" i="5" s="1"/>
  <c r="V16" i="5" a="1"/>
  <c r="V16" i="5" s="1"/>
  <c r="V17" i="5" a="1"/>
  <c r="V17" i="5" s="1"/>
  <c r="V18" i="5" a="1"/>
  <c r="V18" i="5" s="1"/>
  <c r="V19" i="5" a="1"/>
  <c r="V19" i="5" s="1"/>
  <c r="V20" i="5" a="1"/>
  <c r="V20" i="5" s="1"/>
  <c r="V21" i="5" a="1"/>
  <c r="V21" i="5" s="1"/>
  <c r="V22" i="5" a="1"/>
  <c r="V22" i="5" s="1"/>
  <c r="V23" i="5" a="1"/>
  <c r="V23" i="5" s="1"/>
  <c r="V24" i="5" a="1"/>
  <c r="V24" i="5" s="1"/>
  <c r="V25" i="5" a="1"/>
  <c r="V25" i="5" s="1"/>
  <c r="V26" i="5" a="1"/>
  <c r="V26" i="5" s="1"/>
  <c r="V27" i="5" a="1"/>
  <c r="V27" i="5" s="1"/>
  <c r="V28" i="5" a="1"/>
  <c r="V28" i="5" s="1"/>
  <c r="V29" i="5" a="1"/>
  <c r="V29" i="5" s="1"/>
  <c r="V30" i="5" a="1"/>
  <c r="V30" i="5" s="1"/>
  <c r="V31" i="5" a="1"/>
  <c r="V31" i="5" s="1"/>
  <c r="V32" i="5" a="1"/>
  <c r="V3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DB25EF-FD31-2043-95DF-42F96FC4381D}" keepAlive="1" name="Query - Table" description="Connection to the 'Table' query in the workbook." type="5" refreshedVersion="0" background="1" saveData="1">
    <dbPr connection="Provider=Microsoft.Mashup.OleDb.1;Data Source=$Workbook$;Location=Table;Extended Properties=&quot;&quot;" command="SELECT * FROM [Table]"/>
  </connection>
  <connection id="2" xr16:uid="{4338A0EB-5F6E-CF4D-B5A8-D9658A4CF5D4}" keepAlive="1" name="Query - Table (2)" description="Connection to the 'Table (2)' query in the workbook." type="5" refreshedVersion="0" background="1" saveData="1">
    <dbPr connection="Provider=Microsoft.Mashup.OleDb.1;Data Source=$Workbook$;Location=&quot;Table (2)&quot;;Extended Properties=&quot;&quot;" command="SELECT * FROM [Table (2)]"/>
  </connection>
  <connection id="3" xr16:uid="{3C06D668-D463-474C-88C9-B55244F9E3F3}" keepAlive="1" name="Query - Table (3)" description="Connection to the 'Table (3)' query in the workbook." type="5" refreshedVersion="0" background="1" saveData="1">
    <dbPr connection="Provider=Microsoft.Mashup.OleDb.1;Data Source=$Workbook$;Location=&quot;Table (3)&quot;;Extended Properties=&quot;&quot;" command="SELECT * FROM [Table (3)]"/>
  </connection>
  <connection id="4" xr16:uid="{298A66AC-854A-5847-AA69-2D0C2E9EEEB1}"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5" xr16:uid="{21023460-5CE6-9D45-9D47-5F9443E79F8C}" keepAlive="1" name="Query - Table (5)" description="Connection to the 'Table (5)' query in the workbook." type="5" refreshedVersion="0" background="1" saveData="1">
    <dbPr connection="Provider=Microsoft.Mashup.OleDb.1;Data Source=$Workbook$;Location=&quot;Table (5)&quot;;Extended Properties=&quot;&quot;" command="SELECT * FROM [Table (5)]"/>
  </connection>
  <connection id="6" xr16:uid="{51025D05-CB4D-8F49-8A3E-17472DFB2A5F}" keepAlive="1" name="Query - Table (6)" description="Connection to the 'Table (6)' query in the workbook." type="5" refreshedVersion="8" background="1" saveData="1">
    <dbPr connection="Provider=Microsoft.Mashup.OleDb.1;Data Source=$Workbook$;Location=&quot;Table (6)&quot;;Extended Properties=&quot;&quot;" command="SELECT * FROM [Table (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<sst xmlns="http://schemas.openxmlformats.org/spreadsheetml/2006/main" count="1908" uniqueCount="882">
  <si>
    <t>Article Title</t>
  </si>
  <si>
    <t>DOI</t>
  </si>
  <si>
    <t>Researcher Intervention ID</t>
  </si>
  <si>
    <t>Positive</t>
  </si>
  <si>
    <t>No</t>
  </si>
  <si>
    <t>Yes</t>
  </si>
  <si>
    <t>Mixed</t>
  </si>
  <si>
    <t>Unclear</t>
  </si>
  <si>
    <t>Article meta-data</t>
  </si>
  <si>
    <t>Journal</t>
  </si>
  <si>
    <t>Restoration</t>
  </si>
  <si>
    <t>Type of data</t>
  </si>
  <si>
    <t>Evaluation methodology information</t>
  </si>
  <si>
    <t>What climate impact(s) does the intervention address?</t>
  </si>
  <si>
    <t>Outcomes</t>
  </si>
  <si>
    <t>Social impacts</t>
  </si>
  <si>
    <t>Ecological impacts</t>
  </si>
  <si>
    <t>Climate impacts</t>
  </si>
  <si>
    <t>Does the study report climate impact(s)?</t>
  </si>
  <si>
    <t>Does the study report social impact(s)?</t>
  </si>
  <si>
    <t>Does the study report ecological impact(s)?</t>
  </si>
  <si>
    <t>Project Funders</t>
  </si>
  <si>
    <t>Not applicable</t>
  </si>
  <si>
    <t>Protection</t>
  </si>
  <si>
    <t>Management</t>
  </si>
  <si>
    <t>Which social impact(s) does the study report on?</t>
  </si>
  <si>
    <t>Which ecological impact(s) does the study report on?</t>
  </si>
  <si>
    <t>Ecosystem type</t>
  </si>
  <si>
    <t>027-1</t>
  </si>
  <si>
    <t>027-2</t>
  </si>
  <si>
    <t>047-1</t>
  </si>
  <si>
    <t>047-2</t>
  </si>
  <si>
    <t>048-1</t>
  </si>
  <si>
    <t>048-2</t>
  </si>
  <si>
    <t>048-3</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</si>
  <si>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</si>
  <si>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</si>
  <si>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</si>
  <si>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</si>
  <si>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</si>
  <si>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</si>
  <si>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</si>
  <si>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</si>
  <si>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</si>
  <si>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</si>
  <si>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</si>
  <si>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</si>
  <si>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</si>
  <si>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</si>
  <si>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</si>
  <si>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</si>
  <si>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</si>
  <si>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</si>
  <si>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</si>
  <si>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</si>
  <si>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</si>
  <si>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</si>
  <si>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</si>
  <si>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</si>
  <si>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</si>
  <si>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</si>
  <si>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028</t>
  </si>
  <si>
    <t>029</t>
  </si>
  <si>
    <t>030</t>
  </si>
  <si>
    <t>031</t>
  </si>
  <si>
    <t>032</t>
  </si>
  <si>
    <t>033</t>
  </si>
  <si>
    <t>034</t>
  </si>
  <si>
    <t>035</t>
  </si>
  <si>
    <t>036</t>
  </si>
  <si>
    <t>037</t>
  </si>
  <si>
    <t>038</t>
  </si>
  <si>
    <t>039</t>
  </si>
  <si>
    <t>040</t>
  </si>
  <si>
    <t>041</t>
  </si>
  <si>
    <t>042</t>
  </si>
  <si>
    <t>043</t>
  </si>
  <si>
    <t>044</t>
  </si>
  <si>
    <t>045</t>
  </si>
  <si>
    <t>046</t>
  </si>
  <si>
    <t>049</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</si>
  <si>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</si>
  <si>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</si>
  <si>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</si>
  <si>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</si>
  <si>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</si>
  <si>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</si>
  <si>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</si>
  <si>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</si>
  <si>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</si>
  <si>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</si>
  <si>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</si>
  <si>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</si>
  <si>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</si>
  <si>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</si>
  <si>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</si>
  <si>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</si>
  <si>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</si>
  <si>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</si>
  <si>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</si>
  <si>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</si>
  <si>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</si>
  <si>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</si>
  <si>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</si>
  <si>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</si>
  <si>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</si>
  <si>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</si>
  <si>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S27-1</t>
  </si>
  <si>
    <t>S27-2</t>
  </si>
  <si>
    <t>S28</t>
  </si>
  <si>
    <t>S29</t>
  </si>
  <si>
    <t>S30</t>
  </si>
  <si>
    <t>S31</t>
  </si>
  <si>
    <t>S32</t>
  </si>
  <si>
    <t>S33</t>
  </si>
  <si>
    <t>S34</t>
  </si>
  <si>
    <t>S35</t>
  </si>
  <si>
    <t>S36</t>
  </si>
  <si>
    <t>S37</t>
  </si>
  <si>
    <t>S38</t>
  </si>
  <si>
    <t>S39</t>
  </si>
  <si>
    <t>S40</t>
  </si>
  <si>
    <t>S41</t>
  </si>
  <si>
    <t>S42</t>
  </si>
  <si>
    <t>S43</t>
  </si>
  <si>
    <t>S44</t>
  </si>
  <si>
    <t>S45</t>
  </si>
  <si>
    <t>S46</t>
  </si>
  <si>
    <t>S47</t>
  </si>
  <si>
    <t>S47-1</t>
  </si>
  <si>
    <t>S47-2</t>
  </si>
  <si>
    <t>S48-1</t>
  </si>
  <si>
    <t>S48-2</t>
  </si>
  <si>
    <t>S48-3</t>
  </si>
  <si>
    <t>S49</t>
  </si>
  <si>
    <t>Applying resilience thinking to rehabilitating a novel social-ecological system: A case study from the lower Ok Tedi,Papua New Guinea</t>
  </si>
  <si>
    <t>Beekeeping as Pro-forest Income Diversification in Solomon Islands</t>
  </si>
  <si>
    <t>Climate-Friendly Adaptation Strategies for the Displaced Atoll Population in Yap</t>
  </si>
  <si>
    <t>Livelihood benefits and challenges of community reforestation in Timor Leste: implications for smallholder carbon forestry schemes</t>
  </si>
  <si>
    <t>Implementing Climate Change Adaptation Interventions in Remote Outer Islands of the Pacific Island Region</t>
  </si>
  <si>
    <t>Practice-Based Knowledge for REDD+ in Vanuatu</t>
  </si>
  <si>
    <t>Meeting the challenges to climate change adaptation: an NGO community-based successful projects in Mauritius</t>
  </si>
  <si>
    <t>How might adaptation to climate change by smallholder farming communities contribute to climate change mitigation outcomes? A case study from Timor-Leste, Southeast Asia</t>
  </si>
  <si>
    <t>Sustainable Small-scale Mariculture Ventures as a Comparative Climate Friendly Livelihood Alternative in Pohnpei, Federated States of Micronesia</t>
  </si>
  <si>
    <t>Mulching as a mitigation agricultural technology against land degradation in the wake of climate change.</t>
  </si>
  <si>
    <t>Reflecting on four years of community-based fisheries management development in Vanuatu</t>
  </si>
  <si>
    <t>Building Climate Resilience of Smallholder Family Farms by Implementing Integrated Soil and Water Management Strategies in Trinidad and Tobago</t>
  </si>
  <si>
    <t>From the mountains to the sea: Restoring shaded coffee plantations to protect tropical coastal ecosystems</t>
  </si>
  <si>
    <t>Co-Design and Experimentation of a Prototype of Agroecological Micro-Farm Meeting the Objectives Set by Climate-Smart Agriculture</t>
  </si>
  <si>
    <t>Sustainable agriculture and food sovereignty in Haiti: sharing knowledge and shaping understanding of food systems at the University of Fondwa</t>
  </si>
  <si>
    <t>The SOS pesca project: A multinational and intersectoral collaboration for sustainable fisheries, Marine conservation and improved quality of life in coastal communities</t>
  </si>
  <si>
    <t>From Glass Ceiling to Green Canopy: An Intersectional Model of Feminist Sustainability in Fondes Amandes, Trinidad</t>
  </si>
  <si>
    <t>Influence of soil protection techniques on runoff, erosion and plant production on semi-arid hillsides of Cabo Verde</t>
  </si>
  <si>
    <t>Coral reefs for coastal protection: A new methodological approach and engineering case study in Grenada</t>
  </si>
  <si>
    <t>Community management yields positive impacts for coastal fisheries resources and biodiversity conservation</t>
  </si>
  <si>
    <t>Landscape multifunctionality, agroecology, and smallholders: a socio-ecological case study of the Cuban agroecological transition</t>
  </si>
  <si>
    <t>Economic assessment of urban space and blue-green infrastructure in Singapore</t>
  </si>
  <si>
    <t>Evaluating the Fit of Co-management for Small-Scale Fisheries Governance in Timor-Leste</t>
  </si>
  <si>
    <t>Firewood cropping, food cultivation, and conservation planting: a three-dimensional strategy for displaced rural communities - the case of the Atzera Hills, Lae, Papua New Guinea.</t>
  </si>
  <si>
    <t>Resurgence of specialized shade coffee cultivation: Effects on pollination services and quality of coffee production</t>
  </si>
  <si>
    <t>Data-driven coral reef rehabilitation using new biomimicking, advanced materials artificial reefs</t>
  </si>
  <si>
    <t>Watershed restoration as a tool for improving coral reef resilience against climate change and other human impacts</t>
  </si>
  <si>
    <t>Localized nature-based solutions for enhanced climate resilience and community wellbeing in urban informal settlements</t>
  </si>
  <si>
    <t>Reviving traditional NRM regulations (Tara Bandu) as a community-based approach of protecting carbon stocks and securing livelihoods</t>
  </si>
  <si>
    <t>From technology transfer to innovation-based rural development: A necessary turn at the Indio Hatuey experimental station</t>
  </si>
  <si>
    <t>Climate change adaptation planning in remote contexts: insights from community-based natural resource management and rural development initiatives in the Pacific Islands</t>
  </si>
  <si>
    <t>Food security in Timor-Leste through crop production: Conservation agriculture in Timor-Leste: experiences and opportunities</t>
  </si>
  <si>
    <t>Mapping the economic costs and benefits of Coral Triangle Initiative (CTI) and Mangrove Rehabilitation Projects (MRP) in Solomon Islands: A study of two MPAs and one MRP</t>
  </si>
  <si>
    <t>Facilitating access to resilient crop diversity in the Pacific</t>
  </si>
  <si>
    <t>Impacts of natural resource management technologies on agricultural yield and household income: The system of rice intensification in Timor Leste</t>
  </si>
  <si>
    <t>Improving rainwater-use in Cabo Verde drylands by reducing runoff and erosion</t>
  </si>
  <si>
    <t>Improving community-based fisheries management in Pacific island countries</t>
  </si>
  <si>
    <t>Integrated agroecological systems as a way forward for Cuban agriculture</t>
  </si>
  <si>
    <t xml:space="preserve">Assessment of the Effectiveness of Nature-Based Solutions for Land Restoration in St. Kitts and Nevis </t>
  </si>
  <si>
    <t>Efficiency and effectiveness of systems for the treatment of domestic wastewater based on subsurface flow constructed wetlands in Jarabacoa, Dominican Republic</t>
  </si>
  <si>
    <t>S27</t>
  </si>
  <si>
    <t>S48</t>
  </si>
  <si>
    <t>Environmental Science and Policy</t>
  </si>
  <si>
    <t>Resilience and Riverine Landscapres</t>
  </si>
  <si>
    <t>Climate Change Adaptation in Pacific Countries, Climate Change Management</t>
  </si>
  <si>
    <t xml:space="preserve">Forests, Trees and Livelihoods, </t>
  </si>
  <si>
    <t>SOCIETY &amp; NATURAL RESOURCES</t>
  </si>
  <si>
    <t>GeoJournal</t>
  </si>
  <si>
    <t>Sustain Sci</t>
  </si>
  <si>
    <t>Climate Change Impacts and Adaptation Strategies for Coastal Communities</t>
  </si>
  <si>
    <t>International Soil and Water Conservation Research</t>
  </si>
  <si>
    <t>Human Ecology</t>
  </si>
  <si>
    <t>SPC Fisheries Newsletter #165</t>
  </si>
  <si>
    <t>Handbook of Climate Change Management</t>
  </si>
  <si>
    <t>Proceedings of OCEANS 2005 MTS/IEEE</t>
  </si>
  <si>
    <t>Agriculture</t>
  </si>
  <si>
    <t>Frontiers in Sustainable Food Systems</t>
  </si>
  <si>
    <t>Lessons in International Cooperation</t>
  </si>
  <si>
    <t xml:space="preserve">Journal of International Women's Studies </t>
  </si>
  <si>
    <t>Agriculture, Ecosystems and Environment</t>
  </si>
  <si>
    <t>Journal of Environmental Management</t>
  </si>
  <si>
    <t>Conservation Letters</t>
  </si>
  <si>
    <t>Landscape Research</t>
  </si>
  <si>
    <t>Journal of Urban Ecology</t>
  </si>
  <si>
    <t>Frontiers in Marine Science</t>
  </si>
  <si>
    <t>Mountain Research and Development</t>
  </si>
  <si>
    <t>Marine Technology Society Journal</t>
  </si>
  <si>
    <t>Estuarine, Coastal and Shelf Science</t>
  </si>
  <si>
    <t>Climate and Development</t>
  </si>
  <si>
    <t>Center for International Forestry Research</t>
  </si>
  <si>
    <t>Elementa Science of the Anthropocene</t>
  </si>
  <si>
    <t>Australian Centre for International Agricultural Research</t>
  </si>
  <si>
    <t>Acta Horticulturae</t>
  </si>
  <si>
    <t>Ecological Economics</t>
  </si>
  <si>
    <t>Ecological Engineering</t>
  </si>
  <si>
    <t>Geoderma</t>
  </si>
  <si>
    <t>Bulletin of the National Research Centre</t>
  </si>
  <si>
    <t>Ambio</t>
  </si>
  <si>
    <t xml:space="preserve">Livestock Research for Rural Development </t>
  </si>
  <si>
    <t>Disasters</t>
  </si>
  <si>
    <t>Environmental Contamination Remediation and Management</t>
  </si>
  <si>
    <t>Water Science and Engineering</t>
  </si>
  <si>
    <t>Yes (Active)</t>
  </si>
  <si>
    <t>Yes (Passive)</t>
  </si>
  <si>
    <t>Not Specified</t>
  </si>
  <si>
    <t>EPAT/MUCIA-Research &amp; Training
University of Wisconsin-Madison</t>
  </si>
  <si>
    <t>Mauritius</t>
  </si>
  <si>
    <t>Papua New Guinea</t>
  </si>
  <si>
    <t>Solomon Islands</t>
  </si>
  <si>
    <t>Federated States of Micronesia</t>
  </si>
  <si>
    <t>Cabo Verde</t>
  </si>
  <si>
    <t>Timor Leste</t>
  </si>
  <si>
    <t>Tuvalu</t>
  </si>
  <si>
    <t>Vanuatu</t>
  </si>
  <si>
    <t xml:space="preserve"> Mauritius</t>
  </si>
  <si>
    <t>Samoa</t>
  </si>
  <si>
    <t>Puerto Rico</t>
  </si>
  <si>
    <t>Guadeloupe</t>
  </si>
  <si>
    <t>Haiti</t>
  </si>
  <si>
    <t>Cuba</t>
  </si>
  <si>
    <t>Trinidad</t>
  </si>
  <si>
    <t>Cabo Verde Islands</t>
  </si>
  <si>
    <t>Grenada</t>
  </si>
  <si>
    <t>Tonga</t>
  </si>
  <si>
    <t>Singapore</t>
  </si>
  <si>
    <t>Timor-Leste</t>
  </si>
  <si>
    <t>Guam</t>
  </si>
  <si>
    <t>Fiji</t>
  </si>
  <si>
    <t>The Bahamas</t>
  </si>
  <si>
    <t>Dominican Republic</t>
  </si>
  <si>
    <t xml:space="preserve">Kiribati, Vanuatu, Solomon Islands </t>
  </si>
  <si>
    <t>Jamaica</t>
  </si>
  <si>
    <t>St. Kitts and Nevis</t>
  </si>
  <si>
    <t>Not Applicable</t>
  </si>
  <si>
    <t>Coastal indunation; Coastal storm wave induced erosion; Coastal storm surge; Reduced fishery productivity</t>
  </si>
  <si>
    <t>Routledge Handbook Of Food As A Commons, Expanding Approaches</t>
  </si>
  <si>
    <t>International Journal of Sustainable Development &amp; World Ecology</t>
  </si>
  <si>
    <t>https://doi.org/10.1016/j.envsci.2020.03.016</t>
  </si>
  <si>
    <t>https://doi.org/10.1016/B978-0-323-91716-2.00024-8</t>
  </si>
  <si>
    <t>https://doi.org/10.1080/14728028.2020.1798817</t>
  </si>
  <si>
    <t>https://doi.org/10.1080/08941920.2021.2011996</t>
  </si>
  <si>
    <t>https://doi.org/10.1007/s10708-023-10850-5</t>
  </si>
  <si>
    <t>https://doi.org/10.1007/978-3-319-70703-7_2</t>
  </si>
  <si>
    <t>https://doi.org/10.1007/s10745-023-00401-4</t>
  </si>
  <si>
    <t>https://doi.org/10.3390/agriculture13010159</t>
  </si>
  <si>
    <t>https://doi.org/10.37757/mr2018.v20.n2.13</t>
  </si>
  <si>
    <t>https://doi.org/10.1016/S0167-8809(00)00292-9</t>
  </si>
  <si>
    <t>https://doi.org/10.1016/j.jenvman.2018.01.024</t>
  </si>
  <si>
    <t>https://doi.org/10.1111/conl.12755</t>
  </si>
  <si>
    <t>https://doi.org/10.1080/01426397.2024.2329602</t>
  </si>
  <si>
    <t>https://doi.org/10.2307/3673051</t>
  </si>
  <si>
    <t>https://doi.org/10.1016/j.agee.2018.07.002</t>
  </si>
  <si>
    <t>https://doi.org/10.1080/17565529.2023.2277248</t>
  </si>
  <si>
    <t>https://doi.org/10.1525/elementa.325</t>
  </si>
  <si>
    <t>https://doi.org/10.1186/s42269-023-01087-w</t>
  </si>
  <si>
    <t xml:space="preserve">https://doi.org/10.1007/978-3-031-37376-3_3 </t>
  </si>
  <si>
    <t>https://doi.org/10.1016/j.wse.2023.08.004</t>
  </si>
  <si>
    <t>https://doi.org/10.1007/978-3-319-50094-2_23</t>
  </si>
  <si>
    <t>https://doi.org/10.1007/978-3-319-50094-2_6</t>
  </si>
  <si>
    <t>https://doi.org/10.1371/journal.pone.0134244</t>
  </si>
  <si>
    <t>https://doi.org/10.1007/978-3-319-50094-2_1</t>
  </si>
  <si>
    <t>https://doi.org/10.1007/s11625-016-0361-9</t>
  </si>
  <si>
    <t>https://doi.org/10.1007/978-3-030-22759-3_92-1</t>
  </si>
  <si>
    <t>https://doi.org/10.1109/OCEANS.2005.1639829</t>
  </si>
  <si>
    <t>-</t>
  </si>
  <si>
    <t>https://doi.org/10.1093/jue/juab020</t>
  </si>
  <si>
    <t>https://doi.org/10.3389/fmars.2019.00392</t>
  </si>
  <si>
    <t>https://doi.org/10.1016/j.ecss.2016.06.027</t>
  </si>
  <si>
    <t>https://doi.org/10.1080/17565529.2020.1867046</t>
  </si>
  <si>
    <t>https://doi.org/10.1080/13504509.2014.957254</t>
  </si>
  <si>
    <t>https://doi.org/10.17660/ActaHortic.2015.1101.4</t>
  </si>
  <si>
    <t>https://doi.org/10.1016/j.ecolecon.2012.10.009</t>
  </si>
  <si>
    <t>https://doi.org/10.1016/j.geoderma.2014.09.015</t>
  </si>
  <si>
    <t>https://doi.org/10.1111/disa.12539</t>
  </si>
  <si>
    <t>https://doi.org/10.1111/disa.12540</t>
  </si>
  <si>
    <t>SID Region</t>
  </si>
  <si>
    <t xml:space="preserve">Atlantic, Indian Ocean and South China Sea </t>
  </si>
  <si>
    <t>The Pacific</t>
  </si>
  <si>
    <t>The Caribbean</t>
  </si>
  <si>
    <t>Ecosystem creation</t>
  </si>
  <si>
    <t>Nature-based food production</t>
  </si>
  <si>
    <t>Protection; Management ; Nature-based food production</t>
  </si>
  <si>
    <t>Protection; Restoration; Nature-based food production</t>
  </si>
  <si>
    <t>Restoration; Nature-based food production</t>
  </si>
  <si>
    <t>Restoration; Management ; Nature-based food production</t>
  </si>
  <si>
    <t>Management ; Nature-based food production</t>
  </si>
  <si>
    <t>Restoration; Ecosystem creation</t>
  </si>
  <si>
    <t>Management ; Ecosystem creation</t>
  </si>
  <si>
    <t>Protection; Restoration; Management ; Nature-based food production</t>
  </si>
  <si>
    <t>Restoration; Management</t>
  </si>
  <si>
    <t>Mangroves</t>
  </si>
  <si>
    <t>Tropical or Sub-Tropical Forest; Created Forests (Plantations)</t>
  </si>
  <si>
    <t>Tropical or Sub-Tropical Forest; Cropland</t>
  </si>
  <si>
    <t>Agroforestry</t>
  </si>
  <si>
    <t>Cropland</t>
  </si>
  <si>
    <t>Agroforestry; Created Forests (Plantations)</t>
  </si>
  <si>
    <t>Tropical or Sub-Tropical Forest; Agroforestry</t>
  </si>
  <si>
    <t>Streams and Rivers; Agroforestry</t>
  </si>
  <si>
    <t>Coral Reefs; Tropical Oceans; Other: Mariculture / Aquaculture</t>
  </si>
  <si>
    <t>Tropical Oceans</t>
  </si>
  <si>
    <t>Coral Reefs; Tropical Oceans</t>
  </si>
  <si>
    <t>Cropland; Agroforestry</t>
  </si>
  <si>
    <t>Oyster Reefs; Tropical Oceans</t>
  </si>
  <si>
    <t>Coral Reefs; Other Created Ecosystem</t>
  </si>
  <si>
    <t>Cropland; Pasture; Agroforestry</t>
  </si>
  <si>
    <t>Wetlands (Inland); Streams and Rivers; Created Wetland</t>
  </si>
  <si>
    <t>Coastal (Shoreline, Beaches, Dunes); Tropical Oceans</t>
  </si>
  <si>
    <t>Cropland; Created Forests (Plantations)</t>
  </si>
  <si>
    <t>Coral Reefs</t>
  </si>
  <si>
    <t>Created Forests (Plantations)</t>
  </si>
  <si>
    <t>Streams and Rivers; Created Grasslands; Not Specified</t>
  </si>
  <si>
    <t>Tropical or Sub-Tropical Forest; Pasture; Agroforestry</t>
  </si>
  <si>
    <t>Tropical or Sub-Tropical Forest; Coastal (Shoreline, Beaches, Dunes); Tropical Oceans</t>
  </si>
  <si>
    <t>Cropland; Pasture</t>
  </si>
  <si>
    <t>Mangroves; Coral Reefs; Tropical Oceans</t>
  </si>
  <si>
    <t>Created Wetland</t>
  </si>
  <si>
    <t>Streams and Rivers; Other Created Ecosystem</t>
  </si>
  <si>
    <t>Tropical or Sub-Tropical Forest</t>
  </si>
  <si>
    <t>Author(s)</t>
  </si>
  <si>
    <t>Ariadna Anisimova, Alexandre K. Magnana, Virginie K.E. Duvat</t>
  </si>
  <si>
    <t>Todd R. Caplan, Bega Inaho, Markson Yarrao, Jesse Pile, Mike Milczarek and Chad McKenna</t>
  </si>
  <si>
    <t>Wilko Bosma, Stephen Suti and Payton Deeks</t>
  </si>
  <si>
    <t>Murukesan V. Krishnapilla</t>
  </si>
  <si>
    <t>Isaurinda Baptista, Coen Ritsema, Violette Geissen</t>
  </si>
  <si>
    <t>Jennifer Bond, Joanne Millar &amp; Jorge Ramos</t>
  </si>
  <si>
    <t>Gillian Cambers, Pasha Carruthers, Titilia Rabuatoka, Sanivalati Tubuna and Juliana Ungaro</t>
  </si>
  <si>
    <t>Sophia Carodenutoa, Benjamin Schwarzb, Anjali Nelsonc,d, Godfrey Bomee, and Glarinda Andre</t>
  </si>
  <si>
    <t>Anoradha Chacowry</t>
  </si>
  <si>
    <t>Alvin Chandra, Paul Dargusch, Karen E. McNamara</t>
  </si>
  <si>
    <t>Simon Ellis, Maria Haws, Jasmine Mendiola and Mikelson Hemil</t>
  </si>
  <si>
    <t>Bhanooduth Lalljee</t>
  </si>
  <si>
    <t>Sompert Gereva, Dirk J. Steenbergen,Pita Neihapi,Regina Ephraim, Vasemaca Malverus, Abel Sami and Douglas Koran</t>
  </si>
  <si>
    <t>Ramgopaul Roop and Chaney C.G. St. Martin</t>
  </si>
  <si>
    <t xml:space="preserve">Leopoldo Miranda-Castro </t>
  </si>
  <si>
    <t>Stan Selbonne, LoÃ¯c GuindÃ©, FranÃ§ois Causeret, Thierry Bajazet, Lucienne Desfontaines, Mathieu Duval, Jorge Sierra , Franck Solvar, RÃ©gis Tournebize and Jean-Marc Blazy</t>
  </si>
  <si>
    <t>Lesly Joseph, Max O. Stephenson Jr., Laura Zanotti and Scutt Ricot</t>
  </si>
  <si>
    <t>Valerie Miller, Ania Mirabal-Patterson, Elisa Karr, Kendra GarcÃ­a-RodrÃ­guez, Daniel Whittle; National Center for Protected Areas Working Group (CU)</t>
  </si>
  <si>
    <t>Rachel Mulroy</t>
  </si>
  <si>
    <t xml:space="preserve">B. Smolikowski, H. Puig , E. Roose </t>
  </si>
  <si>
    <t>Borja G. Reguero, Michael W. Beck, Vera N. Agostini, Philip Kramer, Boze Hancock</t>
  </si>
  <si>
    <t>Patrick F. Smallhorn-West, Karen Stone, Daniela M. Ceccarelli, Siolaâ€™a Malimali, Tuâ€™ikolongahau Halafihi, Tom C. L. Bridge, Robert L. Pressey, Geoffrey P. Jones</t>
  </si>
  <si>
    <t>Thomas A. White and Robert M. Quinn</t>
  </si>
  <si>
    <t>Mario Reinaldo Machado &amp; Marc Healy</t>
  </si>
  <si>
    <t xml:space="preserve">Mabel Lim and Stefanos Xenarios </t>
  </si>
  <si>
    <t>V. N. Dube</t>
  </si>
  <si>
    <t>Sara Guiti Pradoa, Jaime A. Collazob, Rebecca E. Irwin</t>
  </si>
  <si>
    <t xml:space="preserve">Emily Higgins and Konstantin Sobolev </t>
  </si>
  <si>
    <t xml:space="preserve">Austin J. Shelton III and Robert H. Richmond </t>
  </si>
  <si>
    <t>Darryn McEvoy, Ata Tara, Mittul Vahanvati, Serene Ho, Kim Gordon, Alexei Trundle, Cyril Rachman &amp; Yuyun Qomariyah</t>
  </si>
  <si>
    <t>Marlon Cardinoza</t>
  </si>
  <si>
    <t>Taymer Miranda TortolÃ³, Hilda Machado MartÃ­nez, Antonio Suset PÃ©rez, Luis Lamela LÃ³pez, Katerine Oropesa Casanova, Juan Albero Alfonso Yanes, Marco Antonio GarcÃ­a Naranjo and Iraida MarÃ­a Campos Acosta</t>
  </si>
  <si>
    <t>Valerie Saena Tuia, L.M. Waqainabete, Amit Sukal, Siosiua Halavatau</t>
  </si>
  <si>
    <t xml:space="preserve">Martin Noltze, Stefan Schwarze, Matin Qaim </t>
  </si>
  <si>
    <t xml:space="preserve">Peter M. Rosset, ValentÃ­n Val. </t>
  </si>
  <si>
    <t>Lloyd H.C. Chua a, Stephen B.K. Tan b, C.H. Sim c, Manish Kumar Goyal d</t>
  </si>
  <si>
    <t>I. Baptista, C. Ritsema, A. Querido , A.D. Ferreira, V. Geissen</t>
  </si>
  <si>
    <t>Aaliyah Adderley , Shonnel Wallace, Danica Stubbs, Clare Bowenâ€‘Oâ€™Connor, Joseph Ferguson, Carlton Watson, and Williamson Gustave</t>
  </si>
  <si>
    <t>Fernando Funes-Monzote and Marta Monzote</t>
  </si>
  <si>
    <t xml:space="preserve">Simone Lee,  Giselle Hall, Camilo Trench </t>
  </si>
  <si>
    <t xml:space="preserve">Halla R. Sahely </t>
  </si>
  <si>
    <t xml:space="preserve">Yvelisse Perez, Enmanuel Vargas, Daniel GarcÃ­a-Cort, William Hernandez, Humberto Checo, Ulises Jauregui-Haza </t>
  </si>
  <si>
    <t>Alexander Tilley, Kimberley J. Hunnam, David J. Mills,Dirk J. Steenbergen, Hugh Govan, Enrique Alonso-Poblacion, Matthew Roscher, Mario Pereira, Pedro Rodrigues, Teresa Amador, Agustinha Duarte, Mario Gomes and
Philippa J. Cohen</t>
  </si>
  <si>
    <t>Daniela Medina Hidalgo, Patrick D. Nunn, Harriot Beazley, Joji Sivo
Sovinasalevu &amp; Joeli Veitayaki</t>
  </si>
  <si>
    <t xml:space="preserve">A. Carrasco and Scott G. Witter
</t>
  </si>
  <si>
    <t>Neil Andrew, Joelle Albert, Moses Amos, Karibanang Aram, Rolenas Tavue 
Baereleo, Ian Bertram, Michel Blanc, Delvene Boso, Jessica Blythe, Brooke 
Campbell, Lindsay Chapman, Philippa Cohen, Aurelie Delisle, Hampus 
Eriksson, Quentin Hanich, Connie Donato Hunt, David Mills, Ben Namakin, 
Pita Neihapi, Jason Raubani, Alessandro Romeo, Anne-Maree Schwarz, 
Michael Sharp, Faye Siota, Andrew Song, Meshach Sukulu, Dirk Steenbergen, Tooreka Teemari, Temarewe Tekatau, Kautoa Tonganibeia, Tarateiti Uriam, Jan van der Ploeg, and Lisa Wraith</t>
  </si>
  <si>
    <t>Publication Year</t>
  </si>
  <si>
    <t>Country of Implementation</t>
  </si>
  <si>
    <t>International Development Organization; National Government/Agency; Community Driven</t>
  </si>
  <si>
    <t>Local Private Sector</t>
  </si>
  <si>
    <t>Local NGO</t>
  </si>
  <si>
    <t>Research Institution</t>
  </si>
  <si>
    <t>International Development Organization; Community Driven</t>
  </si>
  <si>
    <t>Community Driven</t>
  </si>
  <si>
    <t>Local NGO; Community Driven</t>
  </si>
  <si>
    <t>International Development Organization; International Government; National Government/Agency; Local NGO</t>
  </si>
  <si>
    <t>International Development Organization; National Government/Agency</t>
  </si>
  <si>
    <t>National Government/Agency</t>
  </si>
  <si>
    <t>National Government/Agency; Local Government/Agency; Local NGO; Community Driven</t>
  </si>
  <si>
    <t>National Government/Agency; Community Driven</t>
  </si>
  <si>
    <t>International Development Organization</t>
  </si>
  <si>
    <t>National Government/Agency; Research Institution</t>
  </si>
  <si>
    <t>International Development Organization; National Government/Agency; Local Government/Agency</t>
  </si>
  <si>
    <t>International Private Sector</t>
  </si>
  <si>
    <t>International Development Organization; International Government; National Government/Agency; Community Driven; Research Institution</t>
  </si>
  <si>
    <t>International Government; National Development Organization; Local NGO; Community Driven</t>
  </si>
  <si>
    <t>Community Driven; Research Institution</t>
  </si>
  <si>
    <t>International Development Organization; National Development Organization; National Government/Agency</t>
  </si>
  <si>
    <t>International Government; National Government/Agency</t>
  </si>
  <si>
    <t>International Government; National Government/Agency; Local NGO; Community Driven</t>
  </si>
  <si>
    <t>Research Institution; National Government/Agency</t>
  </si>
  <si>
    <t>Protection; Management</t>
  </si>
  <si>
    <t>Protection; Restoration; Management</t>
  </si>
  <si>
    <t>Michael O Ha’apio, Walter Leal Filho, Ricardo Gonzalez, Elisabeth Holland &amp; Morgan Wairiu</t>
  </si>
  <si>
    <t>S1-1</t>
  </si>
  <si>
    <t>S2-1</t>
  </si>
  <si>
    <t>S3-1</t>
  </si>
  <si>
    <t>S4-1</t>
  </si>
  <si>
    <t>S5-1</t>
  </si>
  <si>
    <t>S6-1</t>
  </si>
  <si>
    <t>S7-1</t>
  </si>
  <si>
    <t>S8-1</t>
  </si>
  <si>
    <t>S9-1</t>
  </si>
  <si>
    <t>S10-1</t>
  </si>
  <si>
    <t>S11-1</t>
  </si>
  <si>
    <t>S12-1</t>
  </si>
  <si>
    <t>S13-1</t>
  </si>
  <si>
    <t>S14-1</t>
  </si>
  <si>
    <t>S15-1</t>
  </si>
  <si>
    <t>S16-1</t>
  </si>
  <si>
    <t>S17-1</t>
  </si>
  <si>
    <t>S18-1</t>
  </si>
  <si>
    <t>S19-1</t>
  </si>
  <si>
    <t>S20-1</t>
  </si>
  <si>
    <t>S21-1</t>
  </si>
  <si>
    <t>S22-1</t>
  </si>
  <si>
    <t>S23-1</t>
  </si>
  <si>
    <t>S24-1</t>
  </si>
  <si>
    <t>S25-1</t>
  </si>
  <si>
    <t>S26-1</t>
  </si>
  <si>
    <t>S28-1</t>
  </si>
  <si>
    <t>S29-1</t>
  </si>
  <si>
    <t>S30-1</t>
  </si>
  <si>
    <t>S31-1</t>
  </si>
  <si>
    <t>S32-1</t>
  </si>
  <si>
    <t>S33-1</t>
  </si>
  <si>
    <t>S34-1</t>
  </si>
  <si>
    <t>S35-1</t>
  </si>
  <si>
    <t>S36-1</t>
  </si>
  <si>
    <t>S37-1</t>
  </si>
  <si>
    <t>S38-1</t>
  </si>
  <si>
    <t>S39-1</t>
  </si>
  <si>
    <t>S40-1</t>
  </si>
  <si>
    <t>S41-1</t>
  </si>
  <si>
    <t>S42-1</t>
  </si>
  <si>
    <t>S43-1</t>
  </si>
  <si>
    <t>S44-1</t>
  </si>
  <si>
    <t>S45-1</t>
  </si>
  <si>
    <t>S46-1</t>
  </si>
  <si>
    <t>S49-1</t>
  </si>
  <si>
    <t>St. Martin</t>
  </si>
  <si>
    <t>https://doi.org/10.1016/j.ecoleng.2012.08.031</t>
  </si>
  <si>
    <t>Unclear (the authors do not make a conclusion)</t>
  </si>
  <si>
    <t>Financial Assets; Access to information; Actor diversity</t>
  </si>
  <si>
    <t>Financial Assets; Access to information; Knowledge exchange; Actor diversity; Livelihood diversity</t>
  </si>
  <si>
    <t>Empowerment; Financial Assets; Livelihood diversity</t>
  </si>
  <si>
    <t>Social Acceptance; Financial Assets; Access to education; Attachment to place; Livelihood diversity</t>
  </si>
  <si>
    <t>Technological Asessts; Actor diversity; Livelihood diversity</t>
  </si>
  <si>
    <t>Financial Assets; Actor diversity; Livelihood diversity</t>
  </si>
  <si>
    <t>Recognitional Equity; Financial Assets; Access to information; Access to education; Attachment to place; Bonding capital; Knowledge exchange; Livelihood diversity</t>
  </si>
  <si>
    <t>Financial Assets; Access to information; Bridging capital; Bonding capital; Actor diversity; Livelihood diversity</t>
  </si>
  <si>
    <t>Technological Asessts; Financial Assets; Access to information; Livelihood diversity</t>
  </si>
  <si>
    <t>Financial Assets; Bridging capital; Actor diversity</t>
  </si>
  <si>
    <t>Technological Asessts; Access to information; Knowledge exchange; Actor diversity</t>
  </si>
  <si>
    <t>Technological Asessts; Financial Assets; Access to education</t>
  </si>
  <si>
    <t>Financial Assets; Livelihood diversity</t>
  </si>
  <si>
    <t>Recognitional Equity; Social Acceptance; Rights and Ownership; Empowerment; Technological Asessts; Access to information; Access to education; Bridging capital; Knowledge exchange; Knowledge and experience diversity</t>
  </si>
  <si>
    <t>Social Acceptance; Technological Asessts; Financial Assets; Access to information; Attachment to place; Bridging capital; Bonding capital; Knowledge exchange; Actor diversity; Livelihood diversity</t>
  </si>
  <si>
    <t>Empowerment; Access to information; Attachment to place; Actor diversity</t>
  </si>
  <si>
    <t>Social Acceptance; Financial Assets; Access to information</t>
  </si>
  <si>
    <t>Technological Asessts; Financial Assets; Livelihood diversity</t>
  </si>
  <si>
    <t>Social Acceptance; Financial Assets; Access to information; Bonding capital</t>
  </si>
  <si>
    <t>Financial Assets</t>
  </si>
  <si>
    <t>Recognitional Equity; Social Acceptance; Technological Asessts; Access to information; Actor diversity</t>
  </si>
  <si>
    <t>Social Acceptance; Knowledge exchange; Livelihood diversity</t>
  </si>
  <si>
    <t>Empowerment; Access to information; Access to education; Knowledge exchange; Actor diversity; Livelihood diversity</t>
  </si>
  <si>
    <t>Technological Asessts; Access to information; Knowledge exchange</t>
  </si>
  <si>
    <t>Financial Assets; Access to information; Access to education; Bonding capital; Livelihood diversity</t>
  </si>
  <si>
    <t>Technological Asessts</t>
  </si>
  <si>
    <t>Recognitional Equity; Social Acceptance; Rights and Ownership; Empowerment; Access to information; Access to education; Knowledge exchange; Knowledge and experience diversity; Actor diversity; Livelihood diversity</t>
  </si>
  <si>
    <t>Livelihood diversity</t>
  </si>
  <si>
    <t>Habitat area; Availability of resources; Control of local threats; Keystone functional group; Heterogeneity (stand); Species diversity; Sensitivity to environmental change</t>
  </si>
  <si>
    <t>Control of local threats</t>
  </si>
  <si>
    <t>Habitat area; Heterogeneity (stand); Species diversity</t>
  </si>
  <si>
    <t>Species diversity; Sensitivity to environmental change</t>
  </si>
  <si>
    <t>Control of local threats; Heterogeneity (stand)</t>
  </si>
  <si>
    <t>Habitat area; Control of local threats</t>
  </si>
  <si>
    <t>Habitat area; Control of local threats; Species diversity; Genetic diversity</t>
  </si>
  <si>
    <t>Control of local threats; Species diversity</t>
  </si>
  <si>
    <t>Species diversity</t>
  </si>
  <si>
    <t>Habitat area; Control of local threats; Species diversity</t>
  </si>
  <si>
    <t>Habitat area</t>
  </si>
  <si>
    <t>Availability of resources; Species diversity</t>
  </si>
  <si>
    <t>Heterogeniety (landscape); Habitat area; Species diversity</t>
  </si>
  <si>
    <t>Strength of species interactions; Habitat area; Species diversity</t>
  </si>
  <si>
    <t>Strength of species interactions; Sensitivity to environmental change</t>
  </si>
  <si>
    <t>Habitat area; Keystone functional group; Species diversity</t>
  </si>
  <si>
    <t>Habitat area; Species diversity</t>
  </si>
  <si>
    <t>Genetic diversity</t>
  </si>
  <si>
    <t>Habitat Ares</t>
  </si>
  <si>
    <t>Species diversity; Habitat Area</t>
  </si>
  <si>
    <t>Unclear (authors do not make a conclusion)</t>
  </si>
  <si>
    <t>Soil erosion; Reduced soil quality; Biomass cover loss; Reduced timber production; Loss of other ecosystem services</t>
  </si>
  <si>
    <t>Reduced water quality; Soil erosion; Freshwater flooding; Increased Inequality; Economic vulnerability/instability</t>
  </si>
  <si>
    <t>Soil erosion; Reduced soil quality; Reduced agricultural production; Loss of other ecosystem services; Increased incidence of disease/pests; Economic vulnerability/instability</t>
  </si>
  <si>
    <t>Drought; Soil erosion; Reduced soil quality; Reduced agricultural production</t>
  </si>
  <si>
    <t>Soil erosion; Reduced agricultural production; Reduced timber production; Economic vulnerability/instability</t>
  </si>
  <si>
    <t>Reduced agricultural production</t>
  </si>
  <si>
    <t>Reduced water availability; Reduced agricultural production; Economic vulnerability/instability</t>
  </si>
  <si>
    <t>Coastal storm wave induced erosion; Coastal storm surge; High winds damage; Reduced water quality; Reduced fishery productivity; Loss of other ecosystem services; Economic vulnerability/instability</t>
  </si>
  <si>
    <t>Drought; Reduced water availability; Soil erosion; Reduced soil quality; Freshwater flooding; Reduced agricultural production; Economic vulnerability/instability</t>
  </si>
  <si>
    <t>Reduced water quality; Soil erosion; Slope hazards; Reduced fishery productivity; Economic vulnerability/instability</t>
  </si>
  <si>
    <t>Reduced water availability; Soil erosion; Reduced soil quality</t>
  </si>
  <si>
    <t>Biomass cover loss; Reduced fishery productivity; Increased Inequality; Economic vulnerability/instability</t>
  </si>
  <si>
    <t>Reduced fishery productivity; Increased Inequality; Economic vulnerability/instability</t>
  </si>
  <si>
    <t>Waterlogging of soil; Reduced soil quality; Reduced agricultural production</t>
  </si>
  <si>
    <t>Soil erosion; Biomass cover loss</t>
  </si>
  <si>
    <t>Reduced water availability; Reduced soil quality; Reduced agricultural production; Economic vulnerability/instability</t>
  </si>
  <si>
    <t>Reduced water availability; Soil erosion; Reduced soil quality; Freshwater flooding; Reduced agricultural production</t>
  </si>
  <si>
    <t>Reduced fishery productivity; Economic vulnerability/instability</t>
  </si>
  <si>
    <t>Reduced agricultural production; Increased Inequality</t>
  </si>
  <si>
    <t>Reduced water availability; Soil erosion; Reduced agricultural production</t>
  </si>
  <si>
    <t>Coastal indunation; Coastal storm wave induced erosion; Coastal storm surge</t>
  </si>
  <si>
    <t>Reduced fishery productivity</t>
  </si>
  <si>
    <t>Reduced water quality; Soil erosion; Reduced soil quality; Reduced agricultural production; Economic vulnerability/instability</t>
  </si>
  <si>
    <t>Reduced water availability; Soil erosion; Biomass cover loss; Reduced agricultural production; Economic vulnerability/instability</t>
  </si>
  <si>
    <t>Freshwater flooding; Economic vulnerability/instability</t>
  </si>
  <si>
    <t>Biomass cover loss; Reduced fishery productivity; Economic vulnerability/instability</t>
  </si>
  <si>
    <t>Soil erosion; Slope hazards; Reduced agricultural production; Energy Insecurity</t>
  </si>
  <si>
    <t>Reduced agricultural production; Loss of other ecosystem services; Economic vulnerability/instability</t>
  </si>
  <si>
    <t>Coastal storm wave induced erosion; Reduced fishery productivity</t>
  </si>
  <si>
    <t>Slope hazards; Freshwater flooding; Reduced agricultural production</t>
  </si>
  <si>
    <t xml:space="preserve">Wildfire; Biomass cover loss; Reduced agricultural production; Energy Insecurity; Other: Reduced human adaptive capacity  </t>
  </si>
  <si>
    <t>Biomass cover loss; Reduced agricultural production</t>
  </si>
  <si>
    <t>Soil erosion; Increased Inequality</t>
  </si>
  <si>
    <t>Drought; Reduced water availability; Reduced soil quality; Biomass cover loss; Reduced agricultural production</t>
  </si>
  <si>
    <t>Reduced agricultural production; Economic vulnerability/instability</t>
  </si>
  <si>
    <t>Reduced water quality</t>
  </si>
  <si>
    <t>Reduced water availability; Soil erosion</t>
  </si>
  <si>
    <t>Reduced soil quality; Reduced agricultural production</t>
  </si>
  <si>
    <t>Reduced biomass cover; Reduced Soil Quality; High winds damage; Coastal indunation; Coastal Storm Surge</t>
  </si>
  <si>
    <t>Soil erosion; Freshwater flooding; Economic vulnerability/instability</t>
  </si>
  <si>
    <t>Soil Erosion; Biomass cover loss; Reduced Water availibility; Reduced soil quality</t>
  </si>
  <si>
    <t>Soil Erosion; Biomass cover loss</t>
  </si>
  <si>
    <t>Basic Intervention Information</t>
  </si>
  <si>
    <t>Governance</t>
  </si>
  <si>
    <t>Project Partners</t>
  </si>
  <si>
    <t>Project Beneficiaries</t>
  </si>
  <si>
    <t>IPLC Goverance Type</t>
  </si>
  <si>
    <t>Learning from risk reduction pilot projects for enhancing long-term adaptation governance: The case of Mauritius Island (Indian Ocean)</t>
  </si>
  <si>
    <t>Effect of Integrated Water-Nutrient Management Strategies on Soil Erosion Mediated Nutrient Loss and Crop Productivity in Cabo Verde Drylands</t>
  </si>
  <si>
    <t>Blue Food Sovereignty Benefits Social-Ecological Resilience: A Case Study of Small-Scale Fisheries Co-Management and Mariculture in Samoa.</t>
  </si>
  <si>
    <t>Quimby, Barbara ; Roque, Anaís Delilah ; Nébié, Elisabeth Kago Ilboudo ; Levine, Arielle ; Amaama, Safua Akeli ; Wutich, Amber ; Brewis, Alexandra ; Samuelu, Lemasaniai Erenei</t>
  </si>
  <si>
    <t>An Economic Analysis Of The Maissade, Haiti, Integrated Watershed Management Project</t>
  </si>
  <si>
    <t>Rubén Flamarique Urdín</t>
  </si>
  <si>
    <t>The ‘Campesino a Campesino’ Agroecology Movement in Cuba: Food sovereignty and food as a commons.</t>
  </si>
  <si>
    <t>Treatment of baseflow from an urban catchment by a floating wetland system</t>
  </si>
  <si>
    <t>Sargassum sp. as a biofertilizer: is it really a key towards sustainable agriculture for The Bahamas?</t>
  </si>
  <si>
    <t>Constraints to Sustainable Soil and Water Conservation: A Dominican Republic Example</t>
  </si>
  <si>
    <t>International Environmental Organization; International Development Organization; National Government/Agency; Community Driven; Research Institution</t>
  </si>
  <si>
    <t>The role of Nature‐based Solutions in disaster resilience in coastal Jamaica: current and potential applications for ‘building back better.’</t>
  </si>
  <si>
    <t>International Environmental Organization; International Development Organization; National Evironmental Organization; National Government/Agency; Research Institution</t>
  </si>
  <si>
    <t>International Environment &amp; Development Organization ; Community Driven</t>
  </si>
  <si>
    <t>International Environmental Organization; International Development Organization; International Government</t>
  </si>
  <si>
    <t>International Environmental Organization; International Development Organization; Research Institution</t>
  </si>
  <si>
    <t>International Environmental Organization; International Development Organization; International Government; National Government/Agency; Research Institution</t>
  </si>
  <si>
    <t>Mixed Methods</t>
  </si>
  <si>
    <t>Quantitative</t>
  </si>
  <si>
    <t xml:space="preserve">Qualitative </t>
  </si>
  <si>
    <t>Qualitative</t>
  </si>
  <si>
    <t>Ministry of the Environment (ICZM Unit) ; UNDP ; The local Grand Sable Fisherman Association and Grand Sable Women Farmers Planters Entrepreneur Association</t>
  </si>
  <si>
    <t>Ok Tedi Mining Limited</t>
  </si>
  <si>
    <t>Natural Resources Development Foundation (NRDF)</t>
  </si>
  <si>
    <t>Group Training Northern Territory / Friends of Laclubar</t>
  </si>
  <si>
    <t>Oxfam, Catholic Relief Services, Caritas Australia and 11 local partners</t>
  </si>
  <si>
    <t>Pacific American Climate Fund; The Marine and Environmental Research Institute of Pohnpei</t>
  </si>
  <si>
    <t>Fisheries Division of the Ministry of Agriculture and Fisheries</t>
  </si>
  <si>
    <t>Ministry of Agriculture</t>
  </si>
  <si>
    <t>University of Fondwa; The Association of Peasants of Fondwa</t>
  </si>
  <si>
    <t>Save the Children Federation</t>
  </si>
  <si>
    <t>University of Havana</t>
  </si>
  <si>
    <t>The community of Biacou ; The Regional Fisheries Livelihoods Program for South and Southeast Asia</t>
  </si>
  <si>
    <t>The community of Adara ; WorldFish</t>
  </si>
  <si>
    <t>IntelliReefs</t>
  </si>
  <si>
    <t>CARE</t>
  </si>
  <si>
    <t>Researchers from the University of the South Pacific</t>
  </si>
  <si>
    <t>FAO and the Ministry of Agriculture and Fisheries (MAF), in partnership with two non-governmental organisations (NGOs), Mercy Corps and RAEBIA Timor-Leste</t>
  </si>
  <si>
    <t>Solomon Islands Government</t>
  </si>
  <si>
    <t>Secretariat of the Pacific Community</t>
  </si>
  <si>
    <t>Fisheries Advisory Board</t>
  </si>
  <si>
    <t>University of the West Indies; National Environment and Planning Agency</t>
  </si>
  <si>
    <t>United Nations Environment Programme (UNEP) ; The United Nations Development Programme; The United Nations Environment Caribbean Regional Coordinating Unit (CAR/RCU) and the Caribbean Public Health Agency</t>
  </si>
  <si>
    <t>Nevis Historical and Conservation Society</t>
  </si>
  <si>
    <t>RMIT University; Pacific Solomon
Engineering and Consultancy Ltd (PacSol) and Kastom Gaden Association (KGA); Solomon Islands National University; Solomon Islands Government; community members and local stakeholders</t>
  </si>
  <si>
    <t>UNDP</t>
  </si>
  <si>
    <t>Netherlands Universities Foundation for International Cooperation</t>
  </si>
  <si>
    <t xml:space="preserve">Group Training Northern Territory / Friends of Laclubar </t>
  </si>
  <si>
    <t>European Union</t>
  </si>
  <si>
    <t>EU</t>
  </si>
  <si>
    <t>The Australian Aid</t>
  </si>
  <si>
    <t xml:space="preserve">United States Agency of International Development; </t>
  </si>
  <si>
    <t>EU-DCP</t>
  </si>
  <si>
    <t>Australia Aid</t>
  </si>
  <si>
    <t>Ministry of Agriculture/Farmer</t>
  </si>
  <si>
    <t>University of Fondwa</t>
  </si>
  <si>
    <t>The European Union; EDF; MacArthur Foundation</t>
  </si>
  <si>
    <t>Ministry of Fisheries</t>
  </si>
  <si>
    <t xml:space="preserve"> USAID</t>
  </si>
  <si>
    <t>The Regional Fisheries Livelihoods Program for South and Southeast Asia</t>
  </si>
  <si>
    <t>WorldFish</t>
  </si>
  <si>
    <t xml:space="preserve"> U.S. Fish and Wildlife Service; Puerto Rico Department of Natural and Environmental.</t>
  </si>
  <si>
    <t>Canadian International Development Agency</t>
  </si>
  <si>
    <t>International donors</t>
  </si>
  <si>
    <t xml:space="preserve">Office of United States Foreign Disaster Assistance of the United States Agency for International Development (USAID) </t>
  </si>
  <si>
    <t>Solomon Islands Government, United States Aid Agency, Global Environment Facility, Asian Development
Bank, and World Bank</t>
  </si>
  <si>
    <t>AusAID</t>
  </si>
  <si>
    <t>Australian government through the Department of Foreign Affairs and Trade and the Australian Centre for International Agricultural Research.</t>
  </si>
  <si>
    <t>Global Environment Facility</t>
  </si>
  <si>
    <t xml:space="preserve">IWEco </t>
  </si>
  <si>
    <t>Communities living in and around the Ok Tedi basin</t>
  </si>
  <si>
    <t>Local communities</t>
  </si>
  <si>
    <t>Gargey settlement</t>
  </si>
  <si>
    <t>Communities in Manatuto municipality</t>
  </si>
  <si>
    <t>Le Morne village</t>
  </si>
  <si>
    <t>Over 3500 individuals across 23 villages</t>
  </si>
  <si>
    <t>Farmers in Nassola Valley on island of Rodrigues</t>
  </si>
  <si>
    <t>Farmers</t>
  </si>
  <si>
    <t>Participating Haitian farmers and their families</t>
  </si>
  <si>
    <t>2000 people from local fishing communities</t>
  </si>
  <si>
    <t>Tonga communities</t>
  </si>
  <si>
    <t>The Adara Community</t>
  </si>
  <si>
    <t>Coffee plantation farms</t>
  </si>
  <si>
    <t>The Koa Hill informal settlement</t>
  </si>
  <si>
    <t xml:space="preserve">Village community and farmers.   </t>
  </si>
  <si>
    <t>500 farmers</t>
  </si>
  <si>
    <t>Communities growing maize on sloping upland and flat lowland areas in the municipalities of Baucau, Ermera, Manatuto, Aileu and Manufahi.</t>
  </si>
  <si>
    <t>Rice farmers</t>
  </si>
  <si>
    <t>Dryland farmers</t>
  </si>
  <si>
    <t>Fishing and coastal communities in the Pacific</t>
  </si>
  <si>
    <t>Small communities in Jarabacoa, the Dominican Republic</t>
  </si>
  <si>
    <t>Communities and infrastructure in coastal towns of Grand and Petit Sable</t>
  </si>
  <si>
    <t>Pohnpei's coastal communities</t>
  </si>
  <si>
    <t>Coastal communities in Vanuatu</t>
  </si>
  <si>
    <t>Samoan coastal villages</t>
  </si>
  <si>
    <t>Coffee growers, fishermen, community</t>
  </si>
  <si>
    <t>Study ID</t>
  </si>
  <si>
    <t>PLoS ONE</t>
  </si>
  <si>
    <t>IPLC involved?</t>
  </si>
  <si>
    <t>Explicit Mention of IPs?</t>
  </si>
  <si>
    <t>IP Name</t>
  </si>
  <si>
    <t>Beekeeping as pro-forest income diversification</t>
  </si>
  <si>
    <t xml:space="preserve">Vanuatu Department of Fisheries(VFD); University of Wollongong (UoW); The Pacific Community (SPC), WorldFish and respective national fisheries agencies. </t>
  </si>
  <si>
    <t>Cuban Ministry of science, technology and environment; Ministry of Foreign Investment; COPSE Onlus; WWF Netherlands; local universities and NGOs</t>
  </si>
  <si>
    <t>IPLCs (tribes/local communities) collaborate and work with local NGO (NRDF) and are able to negotiate and influence decision-making. NRDF (driver/funder) introduced beekeeping to tribes (referred to as 'project partners', beneficiaries) as part of Forest for Life Programme. After consultation with community members and after agreements signed. If community shows enough interest and commitment, then workshop/training organised for whole community. NRDF provides the hive/bees/basic equipment. Governance shared between tribes and NRDF (with NRDF retaining programme design/funding)- consistent with type 4 rather than primary control (type 5). Historic conflicts referenced in the paper. Conflict = commercial logging being allowed on tribe-owned customary land in 1980s, since then communities suffering environmental/social impacts of poor forestry management. Efforts are made to reconcile these conflicts through Forest for Life Programme (including beekeeping).</t>
  </si>
  <si>
    <t xml:space="preserve">VFD (government agency) alongside other organisations (UoW, SDP, Worldfish, national fisheries agencies) collaborating with &gt;30 communities as part of Pathways Project. IPLCs = coastal communities in Vanuatu. VFD oversees coordination of policy and management over coastal fisheries but CBFM utilises co-learning/collaboration with IPLCs opportunities. Strengthening of CBFM institutions where the project worked with 20 communities to co-develop/revise CBFM plans. VFD-CBFM team's work with communities to develop plans means communities better able to negotiate and influence decision-making. After going co-developing CBFM plans with VFD, some communities have established their own fisheries governance structures (e.g. fishers associations). VFD engaged with community networks to cultivate interest in CBFM. Pathways project also translated posters into local language (Bislama) and visual guides (for illiterate community members). Wan Smolbag (local NGO) worked with VFD to create theatre production for communities accompanied by interactive workshop to teach about sustainable management, gender, intergenerational dynamics, local governance and food security - engaging more local people in CBFM. IPLCs are partners in this process able to negotiate with VFD about CBFM, and paper explicitly mentions customary practices. </t>
  </si>
  <si>
    <t>Mangrove Planting</t>
  </si>
  <si>
    <t xml:space="preserve">Integrated soil-water management </t>
  </si>
  <si>
    <t>Reforestation</t>
  </si>
  <si>
    <t>Climate-Smart Agroforestry</t>
  </si>
  <si>
    <t>REDD+</t>
  </si>
  <si>
    <t>Mangrove rehabilitation</t>
  </si>
  <si>
    <t>Climate-resilient agriculture (included river bank protection, reforestation, establishment of demonstration plots, shift from conventional cultivation to minimum tillage practices and diversifying food crops).</t>
  </si>
  <si>
    <t>Sustainable Small-scale Mariculture</t>
  </si>
  <si>
    <t>Mulching as sustainable agricultural strategy</t>
  </si>
  <si>
    <t>Integrated soil and water management strategies</t>
  </si>
  <si>
    <t xml:space="preserve">Restoring Shaded Coffee Plantations </t>
  </si>
  <si>
    <t>Sustainable Fisheries Management</t>
  </si>
  <si>
    <t>Artificial reefs for coastal protection</t>
  </si>
  <si>
    <t>Integrated Watershed Management</t>
  </si>
  <si>
    <t>Small-scale agroecology</t>
  </si>
  <si>
    <t>Blue-Green Infrastructure Approach</t>
  </si>
  <si>
    <t>Artificial Reefs using Biomimicking infrastructure</t>
  </si>
  <si>
    <t>Community-based Natural Resource Management (incl agroforestry, reforestation, supporting cultural traditions).</t>
  </si>
  <si>
    <t>Conservation Agriculture</t>
  </si>
  <si>
    <t>Marine Protected Areas</t>
  </si>
  <si>
    <t>Agroecology</t>
  </si>
  <si>
    <t>Soil and Water Conservation</t>
  </si>
  <si>
    <t>Community-based Fisheries Management</t>
  </si>
  <si>
    <t>Rehabilitation and afforestation of dredged sand stockpiles</t>
  </si>
  <si>
    <t xml:space="preserve">Community-Based Fisheries Management </t>
  </si>
  <si>
    <t>Floating wetland system</t>
  </si>
  <si>
    <t>Biotechnology for improved crop diversity and climate-resilient crops</t>
  </si>
  <si>
    <t>Mangrove restoration</t>
  </si>
  <si>
    <t>Watershed restoration</t>
  </si>
  <si>
    <t>Specialized shade coffee cultivation</t>
  </si>
  <si>
    <t>Agro-ecological livestock crop systems</t>
  </si>
  <si>
    <t>Soil and water conservation techniques</t>
  </si>
  <si>
    <t>Dual approach to community-based marine management combining access restrictions and no-take reserves</t>
  </si>
  <si>
    <t xml:space="preserve">Indio Hatuey Experimental Station for Pasture; Forage Socio-Economic Group; National Institute of Agricultural Sciences </t>
  </si>
  <si>
    <t>Swiss Agency for Development and Cooperation (COSUDE)</t>
  </si>
  <si>
    <t>Ok Tedi Mining Limited (OTML)</t>
  </si>
  <si>
    <t>Fisheries co-management: Biacou Community</t>
  </si>
  <si>
    <t>Fisheries co-management: Adara Community</t>
  </si>
  <si>
    <t>The Biacou community</t>
  </si>
  <si>
    <t>Smallholder subsistence farmers of Ribeira Seca</t>
  </si>
  <si>
    <t>The Serakar Clan</t>
  </si>
  <si>
    <t xml:space="preserve">International resource organisation WorldFish collaborated/supported local Adara community to develop fishery co-management plans and establish locally managed marine area (community requested) based on tara bandu mechanism. Consultative processes facilitated by Aldeia chief and overseen by committee appointed by chief. Rules drawn up to govern resource extraction across the managed marine area. Adara community able to influence decision-making at all stages of intervention. Tara bandu violators would be fined a quantity of food items (repeat offenders subject to double/triple fines). Community established a reef tax for snorkelers and divers entering no-fishing zone. No rules relating to ancestral spirits (unlike S27-1) so agreed rules approved by Protestant Christian pastor and officially recognised by local government departments. </t>
  </si>
  <si>
    <t>Association pour le Developpement Durable; The Ministry of Agro-industry; the Albion Fisheries Research Centre (AFRC) ; Black River District Council (regional authority); Village Council, and Le Morne Community Centre; Ministry of Lands and Housing</t>
  </si>
  <si>
    <t>The Pacific Community, the Pacific Regional Environment Programme</t>
  </si>
  <si>
    <t>Rural community in northcentral Cuba, called La Picadora</t>
  </si>
  <si>
    <t>Governance/Drivers</t>
  </si>
  <si>
    <t>The rural poor</t>
  </si>
  <si>
    <t xml:space="preserve">Mangrove restoration project is NGO-driven but co-managed and NGO (Association pour le Developpement Durable) collaborates with local community (fishers). Community had authority in decision-making in all phases in implementation and able to voice concerns throughout. NGO utilised participatory learning processes which facilitated exchange of ideas between experts/stakeholders and local community. Explicit reference made to sharing of local knowledge and how this raised awareness, fostered empowerment and improved resilience to climate change impacts. Ideas from all stakeholders (including fishers) integrated into all management processes through consultative and advisory meetings, workshops and sensitisation programmes during project implementation. Although Project Management Committees included local fishers, NGO assumed overall responsibility towards funders and partners rather than primary community control. </t>
  </si>
  <si>
    <t xml:space="preserve">In Tonga's national Special Management Area programme, local communities are given exclusive access to fishing grounds by the Ministry of Fisheries. Governance operates as collaborative partnership between Ministry of Fisheries and local communities. Intervention = 'community-based marine management' (natural resource/biodiversity protection being conducted by/for/with local communities). Communities make parts of the fishing grounds they have been given access to by the government into permanent no-take zones (locally called Fish Habitat Reserves) and communities can determine size and location of these reserves. Programme consolidates local and national objectives. (Local objectives: reviving coastal fisheries resources. National objectives: commitment to international biodiversity conservation targets.) </t>
  </si>
  <si>
    <t xml:space="preserve">Agroecological transition in La Picadora (local farming community) driven by state-led policy restructuring in Cuba. Cuban government restructured agricultural system by implementing a variety of agroecological/smallholder-friendly policies. Local farming households implemented transition but this shift was facilitated through ongoing partnership with the University of Havana. Governance authority remains within national policy and La Picadora community are stakeholders but not in leading/co-leading governance role. </t>
  </si>
  <si>
    <t>Conservation agriculture</t>
  </si>
  <si>
    <t xml:space="preserve">Soil Protection Techniques (light mulching with maize haulms and hedging with bushes and grass) </t>
  </si>
  <si>
    <t>ABC Waters (Active, Beautiful and Clean Waters), the WSUD (Water Sensitive Urban Design) and LID (Low Impact Development) programs</t>
  </si>
  <si>
    <t>Public Utilities Board (PUB); Singapore's National Water Agency</t>
  </si>
  <si>
    <t>The Instituto Nacional de Investigação e Desenvolvimento Agrário of Cabo Verde; The DESIRE project Desertification Mitigation and Remediation of Land - A Global Approach for Local Solutions; Farmers of Ribeira Seca</t>
  </si>
  <si>
    <t xml:space="preserve">Bishan-Ang Mo Kio Park rehabilitation project funded by Singapore's national government/Water Agency to transform the country's water bodies beyond drainage/water supply functions into spaces for community bonding and recreation. Local communities framed primarily as beneficiaries and the study does not provide evidence of communities having a role in decision making. </t>
  </si>
  <si>
    <t xml:space="preserve">Community-based Natural Resource Management East Timor (CBNRM-ET) implemented by CARE International in 12 villages and traditional/customary NRM regulations (tara bandu) revived. CBNRM-ET mobilised farmers groups to carry out agroforestry and entire community engaged in community reforestation. As government of Timor-Leste had sought to revive tara bandu to protect natural resources, CBNRM-ET conducted intensive awareness campaign and facilitated establishment of tara bandu in 12 villages. Establishment of tara bandu involved extensive community consultation/collaboration as affects everybody in the community. Chiefs of sucos (villages) and aldeias (hamlets) and council of elders came together to discuss and agree on content of NRM regulations, prohibited acts and penalties (deterring behaviour). Once regulations agreed upon, elaborate ceremony established the tara bandu. So establishment of tara bandu facilitated by CARE and negotiated/enforced by community (creating ownership of NRM regulations). Paper explicitly references colonial history and efforts to reconcile this: tara bandu is traditional law, which continued to be enforced during Portuguese colonial period, but during Indonesian occupation tara bandu abolished and replaced by national laws. </t>
  </si>
  <si>
    <t>The United States Agency for International Development (USAID);  Dominican Secretary of Agriculture implemented the Natural Resource Management Project</t>
  </si>
  <si>
    <t>The United States Agency for International Development (USAID)</t>
  </si>
  <si>
    <t>USAID and Dominican Secretary of Agriculture implemented the Natural Resource Management Project in Ocoa River watershed in 1982. Management programmes developed under NARMA project discontinued by local farmers when USAID funding ended. Evaluations showed needs and constraints of farmers were not matched with project goals or government resources, suggesting negligible influence of LCs in decision making and externally driven project design. Authors recommend that Dominican farmers need to see relevance of conservation for themselves and incentives for adopting/maintaining conservation and agricultural production practices should be based on evaluating farmer needs (which was not done in this project).</t>
  </si>
  <si>
    <t>Community Reforestation Project</t>
  </si>
  <si>
    <t xml:space="preserve">The Humåtak Project </t>
  </si>
  <si>
    <t>The Fondes Amandes Community Reforestation Project (FACRP)</t>
  </si>
  <si>
    <t xml:space="preserve">FACRP is an agroforestry-based community led by women. Akilah and Tacuma Jaramorgi developed FACRP in response to environmental degradation in Trinidad. State-owned barren land before Jaramorgi family settled but claimed their space through grassroots efforts. Most people involved in the intervention are community members with their own roles but work together in daily responsibilities, indicating local community have primary control over governance. Researchers/students/volunteers from Caribbean and US join in agroforestry practices. FACRP partners with institutions (University of the West Indies and Caribbean Natural Resources Institute) for germinating and monitoring climate resilient species. Clear reference to integration traditional Merikin knowledge with current technological and scientific information in paper. Note: repeated references to Merikin heritage but "Merikins (are) … African Americans who came to Trinidad" so not Indigenous. </t>
  </si>
  <si>
    <t xml:space="preserve">Not Applicable - just to note: Reference to IntelliReefs cultivating trust in communities by inspiring collaborative partnerships and local co-education (but lacking detail). </t>
  </si>
  <si>
    <t>Lomani Gau project: community-based natural resource management</t>
  </si>
  <si>
    <t>Institut national de recherche pour l'agriculture, l'alimentation et l'environnement (INRAE)</t>
  </si>
  <si>
    <t>Agroecological Micro-Farm (AEMF)</t>
  </si>
  <si>
    <t xml:space="preserve">The agroecological microfarm implemented by research institution (INRAE) is the result of co-design between different stakeholders (including local farmers). 12 farms were randomly selected and surveyed to characterise input and output/biophysical environment of farm, guide selection indicators to assess farm, and initiating close link with farmers to involve them in the co-design. Co-design proceeded during interdisciplinary workshops involving agronomists, economists, ecologists, technicians, farmers, and decision-makers, so local farmers were stakeholders among many with some influence over decisions relating to implementation of the microfarm intervention. Field experimentation was conducted by research institution; no evidence of governance/decision-making authority involving local farmers. Overall, despite evidence of intercultural bridging, governance authority remains with external research institution rather than local farmers. </t>
  </si>
  <si>
    <t>Special Fishery Conservation Areas (SFCA)</t>
  </si>
  <si>
    <t xml:space="preserve">National Environment &amp; Development Organization </t>
  </si>
  <si>
    <t>Constructed Wetlands</t>
  </si>
  <si>
    <t>WorldFish, Kiribati Ministry of Fisheries and Marine Resource Development, Solomon Islands Ministry of Fisheries and Marine Resources, Vanuatu Fisheries Department, University of Wollongong (ANCORS), James Cook University, and The Pacific Community (SPC) the Ministry of Internal Affairs, Ministry of Environment, Lands, and Agricultural Development and the Attorney General's Office</t>
  </si>
  <si>
    <t xml:space="preserve">International Government; International Private Sector; National Government/Agency; National Environmental Organization; International Development Organization </t>
  </si>
  <si>
    <t>Coastal community of Grenville Bay</t>
  </si>
  <si>
    <t>The Nature Conservancy; Grenada Fund for Conservation; Grenada Red Cross Society; Government of Grenada; Kingfisher; ACR; Angell Foundation; The German Federal Foreign Office; Smith Warner International</t>
  </si>
  <si>
    <t>Grenada Fund for Conservation</t>
  </si>
  <si>
    <t xml:space="preserve">The Nature Conservancy led the intervention. Grenville fishing community (alongside the Fishery Commission and Grenada's Ports Authority) included in stakeholder meetings in 2014 and 2015. Insights from stakeholder meetings guided initial phase of analysis when implementing intervention, but overall governance authority and funding remained externally led. Authors state that community-based focus was central to the project which "promoted a sense of local stewardship" and "financial benefits of the project (were kept) within the community". Use of locally sourced materials and labour explicitly referenced (e.g. construction undertaken primarily by team of 10 local fishers overseen by Grenadian commercial dive company). </t>
  </si>
  <si>
    <r>
      <rPr>
        <i/>
        <sz val="12"/>
        <rFont val="Aptos Narrow"/>
        <scheme val="minor"/>
      </rPr>
      <t>Sargassum</t>
    </r>
    <r>
      <rPr>
        <sz val="12"/>
        <rFont val="Aptos Narrow"/>
        <scheme val="minor"/>
      </rPr>
      <t xml:space="preserve"> sp. as biofertiliser</t>
    </r>
  </si>
  <si>
    <t>International Environment &amp; Development Organization ; Research Institution</t>
  </si>
  <si>
    <t>Netherlands Universities Foundation for International Cooperation (Nuffic)</t>
  </si>
  <si>
    <t>The Instituto Nacional de Investigação e Desenvolvimento Agrário of Cabo Verde (INIDA); DESIRE project Desertification Mitigation and Remediation of Land; Farmers of Ribeira Seca</t>
  </si>
  <si>
    <t>Local state and federal agencies, non-governmental organizations and most important, the private coffee growers.</t>
  </si>
  <si>
    <t>The U.S. Fish &amp; Wildlife Service's Partners for Fish &amp; Wildlife Program</t>
  </si>
  <si>
    <t>International Environmental Organization; International Development Organization</t>
  </si>
  <si>
    <t>The “Ignacio Pérez Ríos” Credit and Services Cooperative</t>
  </si>
  <si>
    <t xml:space="preserve">Shade coffee restoration initiative initiated by U.S. Fish &amp; Wildlife Service. Initiative is part of voluntary private lands programme (Fish and Wildlife Program) with many partners/stakeholders from local state and federal agencies, NGOs and private coffee growers (local community).  Informal outreach programme run by U.S. Fish &amp; Wildlife Service which targeted coffee farmers directly with increasing numbers of people requesting the programme. Fact sheets developed by U.S. Fish &amp; Wildlife Service are central to outreach promoting incentives for farmers to restore wildlife habitat on private lands. Farmers referred to as "willing to restore shade coffee and willing to participate in research efforts". However, overall programme design and governance authority remain with U.S. Fish &amp; Wildlife Service. </t>
  </si>
  <si>
    <t>Swedish International Development Cooperation Agency (SIDA)</t>
  </si>
  <si>
    <t xml:space="preserve">Project externally funded by Swedish International Development Cooperation Agency (SIDA) but employed inclusive co-production approach, with the project team collaborating with community members and local stakeholders throughout planning, design and implementation stages. Team from RMIT University led the project (retaining overall governance authority). Local pilot NbS interventions implemented by PacSol and KGA with support of UN Habitat local office. PacSol led community engagement processes and also provided local technical expertise to design and implement flood and landslide actions- ensuring fit for local purpose. KGA (local NGO working on customary/traditional food production combined with modern approaches to create an environmentally sustainable approach to small-scale food production) responsible for urban garden and nursery. Community members selected NbS priorities through co-production workshops and actively involved in implementation. </t>
  </si>
  <si>
    <t>Reforestation programme at Coconut Walk Estate</t>
  </si>
  <si>
    <t>Reforestation of degraded lands at abandoned quarry at Potworks Estate</t>
  </si>
  <si>
    <t>Land Degradation Control Works in the College Street Ghaut</t>
  </si>
  <si>
    <t>Campesino a Campesino' Agroecology Movement (MACAC) case study: the “Ignacio Pérez Ríos” Credit and Services Cooperative</t>
  </si>
  <si>
    <t xml:space="preserve">The  'Ignacio  Pérez  Ríos' Credit  and  Services Cooperative (CSS) is a case of success of ‘Campesino a Campesino’ (peasant-to-peasant) agroecological movement (MACAC) in Cuba. Paper suggests local farmers exercise primary control over governance decisions. Farmer-promoters innovate solutions that are common among farmers (or rediscover traditional solutions) and communicate these via horizontal CAC exchanges. CSSs are "made up of peasant families who own their own farms and work them individually, but group together in the CCS to  achieve  economies  of  scale  in  marketing  harvests,  obtaining  credit (and) sharing  farm  machinery". National Association of Small Farmers (ANAP) in Cuba (almost all peasants belong to) is a member of the transnational peasant movement,  'La  Via  Campesina'. As part of MACAC process, ANAP devotes special attention to training/centrality of peasants ("where peasant protagonism is overly diluted by other actors, the process slows to a crawl"). Authors report bottom-up peasant leaders as a result of MACAC. ANAP funds/trains coordinators (typically professionals from agricultural sciences) who identify and coordinate exchanges and training at higher levels. </t>
  </si>
  <si>
    <t>System of rice intensification</t>
  </si>
  <si>
    <t>Community Climate Resilience Plan (Koa Hill)</t>
  </si>
  <si>
    <t>Intervention Type</t>
  </si>
  <si>
    <t>Intervention ID</t>
  </si>
  <si>
    <t>Deutsche Gesellschaft für Internationale Zusammenarbeit (GIZ) and the Timorese Ministry of Agriculture and Fisheries (MAF)</t>
  </si>
  <si>
    <t xml:space="preserve">Deutsche Gesellschaft für Internationale Zusammenarbeit (GIZ) </t>
  </si>
  <si>
    <t xml:space="preserve">International Environment &amp; Development Organization </t>
  </si>
  <si>
    <t>Community-Based Fisheries Management Programme (CBFMP)</t>
  </si>
  <si>
    <t>With financial support from Australia Aid, Fisheries Division of the Ministry of Agriculture and Fisheries initiated CBFMP in 1995. Fisheries Division "provides technical and legal expertise to support community-led development of a coastal management plan for traditional village tenure areas. Village rules and authority can be recognized by the state through by-laws legislation, creating a hybridized governance structure. Village leadership (matai and fono, see ILK section) decide when reserves can be opened and who can access. This co-management approach means IPLCs are in partnership with implementing organisation. Clear efforts to reconcile historic conflicts: "sharing food with visitors is a vital part of Samoan life and traditional systems of exchange (…) the practice became a form of resistance to colonial hegemony". Authors also reference fisheries co-management as enabling "integration" of ILK.</t>
  </si>
  <si>
    <t>The Department of Minerals and Energy, assisted by UNEP and UNESCO (Man and the Biosphere (MAB) Project II) and in co-operation with the Lae City Council</t>
  </si>
  <si>
    <t>Agroforestry practices in Atzera Hills</t>
  </si>
  <si>
    <t>3 year programme implemented/primarily governed by Marine and Environmental Research Institute of Pohnpei (MERIP), funded by United States Agency of International Development (USAID) and assisted by Pacific American Climate Fund (PACAM). "MERIP works with rural fishing communities based around 5 MPAs, to promote marine conservation and CCA through coral, giant clam and sponge farming. (…) Only community members that have engaged seriously with protected areas and other conservation activities are invited to become part of the farming program." So only some community members represented with participation mediated by MERIP. "Using PACAM funds MERIP has expanded the number of farmers engaged in sustainable aquaculture practices to 63 individuals."</t>
  </si>
  <si>
    <t xml:space="preserve">EEPFIH (research institution) facilitates the intervention but local campesino producers (farmers, LCs) are influential decision-makers within EEPFIH's platforms (including SIAL and PMG). Local Agricultural Innovation System (SIAL) is described as a decentralised, multi-actor system that operates through coordinating platforms to strengthen bottom-up decision making with impact at municipal level. Governance is shared between farmers, government representatives, scientific research centres and universities. Farmers lead trainings through campesino-to-campesino participatory methodology, with most activities run by producers. The methodology explicitly combines scientific and local knowledges (both of which are reported as of strong quality in Cuba due to high level of education). Formal authority, however, is shared between multiple actors (including institutions) and is not only community-led. </t>
  </si>
  <si>
    <t>No effect</t>
  </si>
  <si>
    <t xml:space="preserve">Unclear </t>
  </si>
  <si>
    <t>ILK</t>
  </si>
  <si>
    <t>Women</t>
  </si>
  <si>
    <t>Project implemented by the Pacific Community in collaboration with the Pacific Regional Environment Programme (regional/international organisations). LCs are participating in implementation: farmers/landowners developed demonstration sites, but no evidence of shared governance authority so LCs are stakeholders rather than in a co-leading role. Evidence of intercultural bridging (traditional agroforestry farming practices revived/combined with new technology for 'climate ready' crops) but external knowledge systems/programme structuring remain dominant. LCs were also trained by the external implementers in various skills (including agroforestry design, compost making, plant grafting and breeding techniques) via hands-on technical training and local language communication materials.</t>
  </si>
  <si>
    <t xml:space="preserve">Australian Aid funded Community-based Agriculture (CBA) -implemented by international, national, sub-national (district and sub-district) and local actors. IPLCs framed as one stakeholder among numerous others, not in a leading or co-leading governance role.  National government determined national-wide priorities and responses to climate change (supported by donor funding) - many actions at community level (led in partnership with NGOs and CBOs) are driven by national-level policy measures. Heads of succos and sub-districts form important links between community, CBOs, NGOs and national government (leadership in enforcing customary laws and as mediators through various community forums =&gt; vital to integration of traditional and formal regulations). NGO interactions both horizontally across the sector (with other NGOs) and vertically across governance levels are a bridging mechanism. Grassroots CBOs act as community facilitators, apply contextual solutions, mobilise participatory adaptive responses and implement much of the bottom-up initiatives required to build climate resilient communities. Community Action Plans in 25 villages = locally prioritised adaptation interventions by farmers using local knowledge. </t>
  </si>
  <si>
    <t>University of Fondwa (created by the Association of Peasants of Fondwa) works in close collaboration with local farmers (as partners). University involves community leaders in locally appropriate agricultural innovations, educating young rural leaders and providing tools to improve food production. Faculty "work collaboratively with farmers not only to identify production concerns, but also to ameliorate or overcome ongoing crop related issues as they arise". Local farmers are referred to as active partners in co-production of knowledge (so not just recipients). Authors state that farmers are "involved at every stage of the process" when considering changes in agricultural processes/strategies in which UNIF = engaged. Clear efforts to reconcile historic conflicts (reference to French colonisation/impact of international NGOs in the past) and clear references to knowledge system bridging/sharing. Note: possibility that university is overstating IPLC governance (as authors closely affiliated with impleemnting organisation).</t>
  </si>
  <si>
    <t>Stockpile rehabilitation/afforestation programme is principally implemented by OTML. OTML recognised that achieving resilience requires created forest to be valued by local people and IK to be integrated into afforestation practices. As LCs reliant on rehabilitated area to meet subsistence needs and OTML committed to this, ethnobotanical investigations in 2008 to integrate IK and uses of forest plant spp into stockpile revegetation programme (including series of interviews, meetings and field surveys with men and women of different age groups from 4 East Bank villages). 190 locally used spp recorded. So IPs influence species selection and cultural valuation criteria within afforestation design. Authors reference historic conflicts (since mid 1980s OTML mine discharging waste rocks; in 1990s Yongom tribal leaders obtained assistance from national NGOs and Australian law firm to bring lawsuit against OTML which required OTML to implement river dredging operation, environmental studies and community sustainability initiatives; 1998 OTML began implementing stockpile rehabilitation/afforestation). However, programme design, implementation and monitoring principally by OTML and IPs are stakeholders, not in a leading or co-leading role. Note: possibility that OTML is overstating IPLC governance (as authors closely affiliated with implementers and only briefly mention historic conflicts between mine and IPLCs).</t>
  </si>
  <si>
    <t xml:space="preserve">LCs (in Guayabal and Playa Florida) actively participate marine/coastal management processes, including collaboration with scientists and managers, revitalising community marine stewardship and enforcement brigades, and creating livelihood initiatives (e.g. oyster mariculture within MPAs) with support from partners. However, SOS Pesca Project is structured as a multinational collaboration where project design, coordination and formal authority remains with national institutions and international partners. MPA capacity building and training were led by project partners, so LCs are influential stakeholders (among many) rather than in a co-leading governance role. </t>
  </si>
  <si>
    <t>Biacou community recognised environmental issues so actively sought external help to design/declare a tara bandu =&gt; revitalisation of customary practice by local community. Regional Fisheries Livelihoods Program for South and Southeast Asia (International Environment &amp; Development Organization) supported in instituting tara bandu but not imposing governance structures. Community are in primary control of intervention but Regional Fisheries Livelihoods Program have some influence over decision-making. Discussions of Biacou tara bandu involved formal (Suco (village) chief, Aldeia (hamlet) chief, National Directorate of Fisheries and Aquaculture staff) and informal ritual authorities (community members). Tara bandu regulations strictly enforced by Aldeia chief.</t>
  </si>
  <si>
    <t>FAO and MAF in partnership with two NGOs (Mercy Corps and RAEBIA Timor-Leste) drove implementation of Conservation Agriculture (funded by USAID). Research for first two years of project where Farmer Field Schools implemented group demonstration plots using a participatory approach of learning by doing. Guidance provided by trained facilitators of project/MAF which supported farmers to carry out conservation agriculture tasks. FAO provided guidance about "new and improved practices" and facilitated discussion among farmers about pros/cons of conservation agriculture compared to traditional techniques. Partial evidence of customary institutions as FAO and RAEBIA help facilitate participatory land use management plans in some sucos (villages) through tara bandu (local customary law) requested and driven by communities. However, overall project design and governance authority is external and continuation of Farmer Field Schools dependent on external funding.</t>
  </si>
  <si>
    <t xml:space="preserve">Fisheries Advisory Board (national organisation) established network of fish sanctuaries around Jamaica. All Jamaican SFCAs specify that fishing communities consulted before establishment of SFCA. Management varies: "of the 18 SFCAs, management (sole or in partnership) is in the hands of a community-based organisation in 4 cases, a local NGO or not-for-profit organisation in 13, and the government in 1." Overall, SFCAs under nationally designated framework but site-level management delegated (to community-based organisations/NGOs/government) =&gt; IPLCs participate but overarching governance structure is state-led. </t>
  </si>
  <si>
    <t>Serakar Clan (custom land owners) have collectively decided to protect Loru forest through a participatory process following FPIC principles. Instead of copra (coconut) farming, the Clan elected to establish agroforestry plots and preserve the forest. Management rules are created by the Serakar Clan who lead with relative autonomy. Loru forest collectively held by 60-member Clan though Chief plays key role in land use decisions under customary authority. Previous Chief placed a tabu (traditional method of banning resource extraction) on the forest demonstrating reinforcement of customary institutions/practices. This project relies on carbon payments through the international voluntary carbon market to be viable and external actors provide technical, financial and legal support, so other actors have some influence. However, this support enables local self-determination, local land use planning and landowner-led forest resource development.</t>
  </si>
  <si>
    <t xml:space="preserve">Lomani Gau project ongoing for 20 years, referred to as "pioneering example of community-led projects in Fiji". Initial project supported by international donors and researchers from University of the South Pacific with this external funding supporting "endogenous initiatives". Lomani Gau project promotes the idea that communities need to work together to implement solutions. Activities which have lasted the longest in Lomani Gau are community-driven. Initiatives include community-managed marine protected areas, revegetation projects and raised awareness among communities about the importance of sustainable resource management. Project articulated into existing village-level governance mechanisms (e.g. a village plan). However, Lomani Gau initiative unable to be entirely supported by local resources and requires ongoing external funding which must be aligned to community decision-making processes. Authors reference IPLCs able to apply customary institutions and practices (e.g. customary fishing bans (tabu)) and faith-based/traditional leaders are engaged in the governance of the initiative. Overall governance is shared between IPLCs and external actors =&gt; IPLCs as partners/co-managers. </t>
  </si>
  <si>
    <t>Not Applicable - just to note: The Humåtak Project is referred to as a community initiative which formed in 2001 after community members became concerned about diminishing quality of nearshore marine resources. The community coordinated the watershed restoration activities being evaluated by the authors (installing 130 tree seedlings and 54m of sediment filter rocks). However, the paper does not provide sufficient detail in terms of decision-making authority to determine IPLC governance type.</t>
  </si>
  <si>
    <t>Additional Notes</t>
  </si>
  <si>
    <t xml:space="preserve">Community-based reforestation projects. In 2009, group of Australians from NSW formed 'Friends of Laclubar' to donate to start tree planting programme. Group Training Northern Territory (Australian NGO with governance authority) took over project in 2013 with aim of developing carbon offset programme. Farmers paid US$0.20/tree annually from donations raised by GTNT. Project was modified in 2017 to facilitate development of carbon business model. 4-year project has undertaken: biodiversity assessment, GIS mapping, forest management/monitoring activities, creation of 5 farmer groups, land use planning with farmers and baseline evaluation. Some but not all community members benefit from reforestation activities ("biases towards better-off households through unequal power structures"). However, local customs (Tara Bandu law) and spiritual leaders assisting project by establishing social norms and penalties around livestock grazing on neighbours’ properties. Authors reference violent history of Portuguese colonisation, Indonesian occupation and UN Transitional Administration: "during Indonesian occupation people in remote villages were forcibly removed to Laclubar town and many of them have returned to their ancestral lands post-Independence". </t>
  </si>
  <si>
    <t xml:space="preserve">Mangrove planting project implemented by UNDP and Ministry of the Environment (ICZM unit). The project focused on community engagement by: (1) consultation phase for the design of the project being carried out with the local community (raising awareness about environmental issues) and (2) to increase ownership of the project, implementation involved different segments of the community (including grand Sable Fisherman Association and Grand Sable Women Famers Planters Entrepreneur Association). Authors note "bottom-up participatory channels" and capacity building for local actors in the governance framework - however, overall, LCs are recognised and have some representation but not in a co-leading role and external actors (UNDP and ICZM) are dominant. </t>
  </si>
  <si>
    <t>Youth</t>
  </si>
  <si>
    <t>Notes</t>
  </si>
  <si>
    <t xml:space="preserve">IPs with subsistence lifestyle and strong cultural connection to ancestral lands reliant on traditional ways for survival. IPs reliant on floodplain forest and river ecosystem for food, medicines, building materials, and ecosystem services for millennia. Forest dieback has cultural impact on subsistence livelihood of IPs - reduced availability of key forest resources (e.g. Sago palm - staple food item -palm patches severely reduced by prolonged floodplain inundation). Ethnobotanical investigations documented plant local uses (IK) including: structural materials for buildings, canoes, foods, medicines, food resources for game and other animals and variety of other miscellaneous uses (e.g. hunting and weapons, clothing, pigments, cleaning, fuel, insect repellents, lighting, cooking, tools, musical instruments, spiritual). </t>
  </si>
  <si>
    <t>ILK not central to intervention; beekeeping (European honeybee) externally introduced (since 1960s)</t>
  </si>
  <si>
    <t>Local communities successfully re-established productive, traditional agroforestry system for climate adaptation via mosaic restoration. Project emphasises combination of adaptive management (non-ILK) with traditional methods (ILK). ILK: (1) local practices including traditional agroforestry/homegardens; (2) using various indigenous trees and crops in degraded landscape to improve ecological functioning/well-being; (3) agroforestry adoption improved by complementing with local practices, communities' cultural norms and traditions. Non-ILK: educating communities with scientific knowledge (i.e. non-ILK), (1) volcanic soil management strategies (composting, mulching, liming) and (2) training in alternative vegetable gardening activities (e.g. SPIN farming, raised bed gardening, micro-gardens and contained gardening).</t>
  </si>
  <si>
    <t xml:space="preserve">Brief mention of traditional maize/bean intercropping as the control treatment (T0) but not ILK. </t>
  </si>
  <si>
    <t>Reference to cultural significance of wildlife for Timorese people: "Improved biodiversity through tree plantations provides an opportunity for households to continue or reconnect with culturally significant species". Local customs (Tara Bandu law) also involved in intervention and "spiritual leaders are assisting the project by establishing social norms and penalties around  livestock  grazing  on  neighbours’ properties".</t>
  </si>
  <si>
    <t xml:space="preserve">Project involved revival of traditional agroforestry farming practices - combined with new technology for 'climate ready' crops. Clear ILK in farming practices rather than project governance. </t>
  </si>
  <si>
    <t>Reference to "traditional forms of agroforestry that have been important for the lives and livelihoods of Ni-Vanuatu since prehistoric times". Kastom (traditional culture) dictates local land tenure/land use. Authors reference conservation through tabu by the clan - (TEK) motivating place-based natural resource management. Authors state "fostering linkages between TEK and REDD+ is critical for local uptake"</t>
  </si>
  <si>
    <t>Reference to use of "multiple farming practices (e.g. land management, water resources management, sustainable agriculture, conservation of watersheds and traditional knowledge)". Mention of knowledge bridging through capacity assessments using "scientific and local knowledge". Measures implemented by the programme in communities include: river bank protection, reforestation, establishment of demonstration plots, shift from conventional cultivation to minimum tillage practices and diversifying food crops. Off-farm initiatives include: involvement of local authorities at succo level, income generating activities, microfinance (savings and credit schemes), promotion of small enterprises and local regulation (Tara Bandu = customary law)."</t>
  </si>
  <si>
    <t>Reference to kava plant but not central to intervention/ Kava growing referred to as a "traditional activity" which is "less climate friendly" but Kava also a "significant plant for the people of Pohnpei (…) used in ceremonial feasts, settling of family disputes, and more recently as a recreational pastime where people gather to drink and exchange news.".</t>
  </si>
  <si>
    <t xml:space="preserve">Mulching referred to as an age-old practice but not framed as ILK. </t>
  </si>
  <si>
    <t xml:space="preserve">Through fisheries co-management "local values, food systems, providers, and consumers are centred". Locally caught fish referred to as important staple food in pacific - "sharing food with visitors is a vital part of Samoan life and traditional systems of exchange (…) the practice became a form of resistance to colonial hegemony". Authors reference 'Fa'a Samoa' (the Samoan way) which encompasses Samoa's traditional institutions, social protocols and cultural identity. Also reference to matai system (higher status, usually male, chiefs govern together through village council). Village fono (traditional leadership council) govern fishing/gleaning activities and prohibit non-members from access. </t>
  </si>
  <si>
    <t xml:space="preserve">Kwamera indigenous community - tabu area committee deliberated with community tribes. Tabu area committee members include kastom (indigenous) elder - mention of kastom fishing (Indigenous practice). </t>
  </si>
  <si>
    <t xml:space="preserve">Local Communities (in Kiribati, Solomon Islands and Vanuatu) acknowledged for expertise/generosity in sharing knowledge. "Improved fisheries management strongly build on local/traditional knowledge and CBFM principles align with (…) perceptions on stewardship". Customary instruments (e.g., bans on consuming or harvesting certain species; temporary reef closures; restrictions on fishing methods) referenced as commonly adapted/integrated into contemporary CBFM.  </t>
  </si>
  <si>
    <t xml:space="preserve">Selection of techniques combined traditional and scientific knowledge in a field-based participatory approach. Control (T0) = traditional practice but authors refer to traditional practice of rain-fed farming as causing considerable losses.  </t>
  </si>
  <si>
    <t xml:space="preserve">Ignacio  Pérez  Ríos' CSS specifically: "members farm high-quality organic peasant coffee with complementary production of root and tuber crops, fruit trees and farm animals, the combination of which provides food for the peasant families and products for local and even regional markets". MACAC generally: "Cuban  peasants (…) have  always  employed  some  traditional agroecological practices that are commonly held by the collectivity. They were preserved even during the heyday of the Green Revolution and made it through informality and connections to today’s Cuba. This pool of traditional knowledge proved to be a key resource for (…) MACAC". </t>
  </si>
  <si>
    <t xml:space="preserve">Mention of subsistence agronomic practices (mulching, fertilisation and pest/disease management) and traditional cultivation of marginal crops (cassava, pumpkin, sorrel); authors promote effective succession planning to transfer traditional skills/IK (deep-rooted rural experience) to next generation for IK preservation but authors also note lack of emphasis on succession planning by most smallholder farmers so poor transfer of IK. Authors also mention suspicions of farmers around building strategic alliances with local/regional/international agencies so farm development IK and practices centric (authors say this limits resilience to climate change).  </t>
  </si>
  <si>
    <t xml:space="preserve">Traditional/native shade coffee plantations being restored. Reference to 1960s/1970s introduction of sun coffee monocultures as detrimental on Puerto Rico landscape. Techniques used for restoration developed &gt; 300 years ago. U.S. Fish &amp; Wildlife Service adapted traditional techniques to existing conditions and new technology. "We use native vegetation in spatial arrangement that provide important habitat for endemic, native and migratory species, while maintaining the agricultural value and the acceptance of private landowners". Farmers "are protecting not only wildlife but also a traditional way of living and an important cultural activity". </t>
  </si>
  <si>
    <t xml:space="preserve">In discussing codesign method authors reference that the first prototype of the agroecological microfarm had to "integrate the maximum amount of scientific and local agroecological knowledge". Agroecological principles/practices which were combined and compared with existing traditional practices carried out by local farmers included (1) soil and nutrient management (2) flows of solar radiation, air, and water (3) pest and disease management (4) species and genetic diversification and (5) integrated farms. Authors clearly reference this experimental agroecological microfarm has become a place for knowledge exchanges between stakeholders/students/citizens. </t>
  </si>
  <si>
    <t xml:space="preserve">The university helps the local farmers through a combination of modern and traditional practices. University's process addresses farmer concerns so their knowledge/experience informs alongside scientific expertise. University itself is run by local leaders with deep knowledge of the nation’s agricultural heritage. </t>
  </si>
  <si>
    <t>References to local knowledge but ILK not explicitly central to intervention</t>
  </si>
  <si>
    <t>Permaculture referred to as sustainable farming/Indigenous way of living and working in harmony with earth's biodiversity. Paper notes the most resilient species tend to be indigenous. "Reaping the benefits of the forest requires a traditional knowledge, for identification of which plants are suitable for planting in what areas, the benefits they provide the ecosystem, and how they mitigate climate change impacts. But also, a traditional knowledge is required to understand how to utilize plant properties for medicinal uses. This knowledge is evidence of Akilah (Jaramorgi)'s strong belief in the spiritual properties of the forest and the earth itself and of our intrinsic link to it."</t>
  </si>
  <si>
    <t>Local knowledge explicitly referenced in guiding project approach but not involved in governance. This is a reef restoration project where approach was guided by a holistic understanding of the past, present and after-project. "It required combining historical data, local knowledge, modelling, field testing and monitoring.".</t>
  </si>
  <si>
    <t>Lacking specific detail on type of ILK, ILK not framed as central to shaping intervention</t>
  </si>
  <si>
    <t xml:space="preserve">Brief reference to farmer-to-farmer horizontal exchange and local knowledge production. </t>
  </si>
  <si>
    <t xml:space="preserve">Tara bandu rules establish: (1) restrictions over use of lulik (sacred, taboo) spaces; restrictions over use of terrestrial resources (protection of forest resources, banning slash-and-burn agriculture); restrictions over use of marine resources (protecting coral, mangroves, prohibiting bomb and poison fishing, protecting turtles and their eggs); address conflict resolution (particularly between youth groups). Tara bandu involves graduated penalty system with increasingly harsh penalties. It is in the offender's interest to acknowledge their breach as by not holding reconciliation ritual offenders are punished by the spirit of the rai na'in (ancestors) who are considered as enforcing the ban so activities prohibited under threat of both spiritual and material sanctions. </t>
  </si>
  <si>
    <t xml:space="preserve">Similar to S27-1. Tara bandu (customary practice) mechanism used to govern resource extraction. Note: agreed rules approved by pastor as Adara community members predominantly Protestant Christian; traditional spirituality and associated institutions have mostly disappeared. </t>
  </si>
  <si>
    <t xml:space="preserve">Reference to "rustic" and "traditional" polyculture shade coffee production (as highly valued agroecosystems with benefits for wildlife/ecosystem services) but this study focuses on specialised shade coffee cultivation and its impacts on coffee production. References are made to resurgence of shade coffee cultivation since the 2000s following 40 years of agricultural intensification towards sun coffee. </t>
  </si>
  <si>
    <t xml:space="preserve">Approach "explicitly considers local and traditional knowledge, with local leadership of community activities also allowing for a deeper understanding of social, political, and cultural contexts". Co-production workshop "held in the community, using conceptual designs to stimulate group discussions and select appropriate NbS actions informed by local knowledge". Kastom Gaden Association integrates customary/traditional food production with modern approaches. </t>
  </si>
  <si>
    <t xml:space="preserve">Tara bandu referred to as effective institutional tool in protection of forest wild animals, water sources, sacred places and property rights of people - an age old tradition rooted in animistic belief of Timorese people. Tara bandu regulations include protection of established plantations from fire/animal grazing/arbitrary cutting and promotion of sustainable utilisation of community resources. </t>
  </si>
  <si>
    <t xml:space="preserve">Explicit mention of local knowledge/wisdom and combining scientific and local knowledge. However, no specific local practices described. </t>
  </si>
  <si>
    <t>In discussions with researchers, community members confirmed Lomani Gau initiative "responsible for complementing traditional knowledge (…) with scientifically-informed values of conservation." Authors mention local communities valuing their traditional environmental knowledge. References to Fiji villages putting in place local/customary governance mechanisms for collective management of resources e.g. customary fishing bans (tabu) in marine protected areas =&gt; ILK embedded in governance.</t>
  </si>
  <si>
    <t xml:space="preserve">Maize was grown using traditional methods (burning organic matter and ploughing the soil) as a control in the demonstration plots, but traditional 'slash and burn' methods described as "deeply rooted in (…) farming traditions" and framed as having contributing to land degradation. Some recognition of customary institutions through tara bandu (in some villages). </t>
  </si>
  <si>
    <t>Traditional fishing practices are mentioned and reference to reef as a sacred place which stores villages' marine resources but ILK not framed as central to shaping intervention (MPAs)</t>
  </si>
  <si>
    <t xml:space="preserve">Alongside local Grand Sable Fisherman Association, Grand Sable Women Farmers Planters Entrepreneur Association planted and harvested mangrove seeds, while women from the community sewed together cloth sacks to use as seedpods for the propagules. </t>
  </si>
  <si>
    <t>"OTML’s ethnobotany investigation involved a series of interviews, meetings and field surveys with men and women of different age groups"; men and women being consulted separately is considered an effort to elevate women's voices.</t>
  </si>
  <si>
    <t xml:space="preserve">Beekeeping intervention by NRDF aims to give more opportunities for women (and youths) in the community to engage more in the programme and become beneficiaries. NRDF originally conceived beekeeping as women's project but in practice it is a family-run enterprise, income generation from beekeeping complemented by women's saving clubs which NRDF assisted with setting up. </t>
  </si>
  <si>
    <t>"Men tend to generate profits from cash crops, while women’s labour goes into crops that are consumed by the household or are less valuable in monetary terms. Our results suggest a potential risk in smallholder carbon forestry projects placing extra burden on women"</t>
  </si>
  <si>
    <t>Women targeted for home gardening activities through Tuvalu National Council of Women. "Training and equipment was provided to women’s groups in each island to develop their own home gardens. A home garden competition in 2015 proved to be a strong motivating factor, and this approach is planned to be replicated annually by the National Council of Women."</t>
  </si>
  <si>
    <t>In practice women plant root crops for subsistence in agroforestry plots. One female hired for admin/finance and two male rangers hired for operations. Paper notes patrilineal land inheritance system - however, Clan is working to rectify gender income gap by targeting women for training in nut processing. Authors state: "experience suggests this gender conscious approach has bolstered broad motivation for the project".</t>
  </si>
  <si>
    <t>As part of community capacity building, special attention given to needs and concerns of women (as most concerned with welfare of families). (1) Ministry of Social Security gave talks to women on social benefits and aspects of sustainable development in society. (2) Ministry of Cooperatives raised awareness of the community on women's empowerment.</t>
  </si>
  <si>
    <t xml:space="preserve">"More women (…) have participated in village level decision-making processes, farming and home gardening activities, food processing, business management (…) and community development initiative". Reference to women as community champions (promoting gender issues and motivating other women). </t>
  </si>
  <si>
    <t>"While aquaculture in the Pacific has created gendered economic opportunities specifically benefiting men (the authors) find that Samoan women are benefiting eco- nomically from spill-over from the CBFMP reserve area."</t>
  </si>
  <si>
    <t xml:space="preserve">Women benefitted through community-established oyster mariculture projects and textile workshop; livelihood diversification creating new jobs and greater income sources (81 for women). </t>
  </si>
  <si>
    <t>Programme developed and led by women in executive decision-making roles - notably Akilah (mother) and Kemba (daughter) Jaramogi. Clear reference to agroforestry model through a gendered lens. Forestry and fighting wildfires are traditionally male jobs in Trinidad and Tobago (due to socio-cultural norms) but FACRP supports and encourages those who do so.</t>
  </si>
  <si>
    <t xml:space="preserve">The location of the locally managed marine area was discussed in detail and agreed upon in women's focus groups as women's gleaning activities would be displaced by the closed area. Elected committee of community members responsible for safekeeping of reef taxes currently led by a woman. </t>
  </si>
  <si>
    <t>Community engagement involved on-site face-to-face meetings with Community Development Committee (CDC) members, local church groups, women, youth, and children. Inclusive engagement processes "mobilized women, youth, and children; offering them genuine opportunities for participation in the project."</t>
  </si>
  <si>
    <t xml:space="preserve">Paper explicitly mentions that the tara bandu process is non-gender sensitive. Decisions and consultations are made by leaders and council of elders. Timor-Leste is traditionally paternalistic, so leaders/council more often males. Women's perspectives on the proposed NRM regulations often not considered.  </t>
  </si>
  <si>
    <t xml:space="preserve">New vision of EEPFIH references gender equality: male and female producers involved in the SIAL initiative and campesino-to-campesino events are led by both male and female producers. </t>
  </si>
  <si>
    <t xml:space="preserve">Planting mangroves (as part of Lomani Gau initiative) increased possibilities of women using handlines to catch fish; women also highlighted improved hygiene and sanitation benefits (from activities of Lomani Gau). However, limited role of women in governance: "These informal talanoa (discussions) allowed perspectives of other members of the community like youth and women, who were only rarely involved in the formal discussions with village leaders, to be understood". </t>
  </si>
  <si>
    <t>In Naro site, women's group (+ village elders, church leaders, youth and ordinary villagers) explicitly mentioned in supporting the establishment of the project which has been linked to the project's success. Multiple references to "women's groups" but unclear if women-led governance in intervention.</t>
  </si>
  <si>
    <t xml:space="preserve">Project objective #7 (of 8): "Greater gender equity in decision-making and control of assets". "CBFM is an area where women play a critical role as they are typically involved in inshore fishing activities, such as reef gleaning, invertebrate collection and the preparation and sale of the products of fishing activities." </t>
  </si>
  <si>
    <t>Beekeeping intervention by NRDF aims to give more opportunities for (women and) youths in the community to engage more in the programme and become beneficiaries. (Associated with women's saving clubs,) income saved and managed by women tends to be spent more on items that benefit children (e.g. food and clothing) with positive knock-on effects (e.g. increase in children attending school).</t>
  </si>
  <si>
    <t>"Farmers reported that the benefits of tree plantations (included) investment in children's education". Also - "the future-outlook  of  respondents  in  this  study  (predominantly in  relation  to  the  benefits  provided  by  the  tree  payments  to  their  children’s  welfare …) seems to outweigh any opportunity costs or other costs of maintaining plantations. "</t>
  </si>
  <si>
    <t xml:space="preserve">School children given training in sustainable development and ocean/coastal/marine resources. Youth given special attention in conjunction with the Ministry of Youth. Following the completion of the activities, the remaining resources were spent on additional sensitisation activities and provisioning of books for underprivileged children. </t>
  </si>
  <si>
    <t>"To better engage with youth, the program hosted a series of events at the 2012 Perma Scout Timor-Leste Camp. The events included workshops, trainings, exhibitions and art performances to increase awareness of climate change. "</t>
  </si>
  <si>
    <t>Brief mention of Nutrition-based fisheries management being introduced through VFD to address chronic under nourishment among (women and) children, but no specific youth-focused initiatives as part of intervention.</t>
  </si>
  <si>
    <t>In the paper, authors promote the inclusion of children in succession plans and development of farming skills/indigenous knowledge by children but no youth-focused initiatives as part of intervention.</t>
  </si>
  <si>
    <t>University aims to fill a gap in educational opportunities for rural youth</t>
  </si>
  <si>
    <t>Youth Environmental Clubs created in schools in Guayabal and Playa Florida</t>
  </si>
  <si>
    <t>FACRP engages youth through climate/reforestation education (also mentions of Merikin heritage). Study also mentions eco-camps. FACRP is incorporating knowledge on local flora and fauna into their educational sessions (in response to sparse education in Trinidad). However, no mention of youth governance authority in paper.</t>
  </si>
  <si>
    <t>Youth only mentioned briefly in context of tara bandu rules addressing conflict resolution between youth groups</t>
  </si>
  <si>
    <t>Reference to IntelliReefs working with "local schools" (but lacking detail).</t>
  </si>
  <si>
    <t xml:space="preserve">Paper explicitly mentions those with higher level of education in community, like the youth, may have changed their belief (away from animism/spiritualism) and may not support tara bandu. </t>
  </si>
  <si>
    <t>Youth groups included in awareness raising activities. Elders emphasised the need for younger generations to be involved in 'self-help' initiatives, highlighting value of empowering local youth group(s). Spiritual engagement referenced as motivation for youth to participate in initiatives. However, limited role of youth in governance: "These informal talanoa (discussions) allowed perspectives of other members of the community like youth and women, who were only rarely involved in the formal discussions with village leaders, to be understood"</t>
  </si>
  <si>
    <t>In Naro site, youth (+ women's group, village elders, church leaders and ordinary villagers) explicitly mentioned in supporting the establishment of the project which has been linked to the project's success. However, no youth-focused initiatives as part of intervention.</t>
  </si>
  <si>
    <t>"WorldFish has trained a youth group to conduct a basic inventory of invertebrates in these no-take zones". "Involving the youth in data collection proved an effective avenue to stimulate broader community involvement (…) This activity was strongly supported by village leaders who saw it as an opportunity to build the capacity of their youths"</t>
  </si>
  <si>
    <t>Applying Typology of IPLC Governance Role</t>
  </si>
  <si>
    <t xml:space="preserve">Timorese people - also reference to Tetum Terik (indigenous language) spoken by local people. But word 'indigenous' not used. </t>
  </si>
  <si>
    <t>Indigenous Peoples</t>
  </si>
  <si>
    <t xml:space="preserve">Authors note sharing of "local knowledge" and recognition of local community's situational knowledge of their history, culture, environment and society, which informed management processes. </t>
  </si>
  <si>
    <t>Gender-sensitive CBFM - workshop at VFD on gender inclusion contributed to significant changes in practice among VFD staff. As a result, VFD moving from applying gender-blind to gender-aware practices and activities increasingly designed to reach women.</t>
  </si>
  <si>
    <t>Reference to men and women farmers participating (835 total) - note role of women in governance not discussed.</t>
  </si>
  <si>
    <t>Women "made up 40% of coordinators in 2009", however "only 12% of facilitators and 8% of promoters were women" =&gt; principal challenge of MACAC to achieve gender equality.</t>
  </si>
  <si>
    <t>Awin and Yongom people</t>
  </si>
  <si>
    <t>Repeated reference to Papua New Guinea tribal units/clans, word 'indigenous' used</t>
  </si>
  <si>
    <t>Reference to tribes (including Sirebe, Vuri and Kamaboe), but word 'indigenous' not used</t>
  </si>
  <si>
    <t>References to 'traditional/ethnic' atoll communities and the word 'Indigenous' used generically but no named indigenous group</t>
  </si>
  <si>
    <t>Coastal communities implied to be 'traditional' societies but word 'indigenous' not used and no named indigenous groups</t>
  </si>
  <si>
    <t>Samoan people</t>
  </si>
  <si>
    <t>Indigenous' used generically but no named Indigenous group</t>
  </si>
  <si>
    <t>Word 'Indigenous' used (but more in reference to permaculture as a traditional way of living rather than the community itself being indigenous - as Jaramorgi family have Merikin heritage)</t>
  </si>
  <si>
    <t xml:space="preserve">iTaukei </t>
  </si>
  <si>
    <t>Ikaukau and Kwamera communities</t>
  </si>
  <si>
    <t>NbS Intervention Type</t>
  </si>
  <si>
    <t>Grouped Governance Type</t>
  </si>
  <si>
    <t>Reported?</t>
  </si>
  <si>
    <t>Study Reports Governance?</t>
  </si>
  <si>
    <t>Description of IPLC Role in Governance</t>
  </si>
  <si>
    <t>Aggregated climate impact</t>
  </si>
  <si>
    <t>Aggregated social impact</t>
  </si>
  <si>
    <t>Aggregated ecological impact</t>
  </si>
  <si>
    <t>Note: word 'Indigenous' not used</t>
  </si>
  <si>
    <t>Local community with chief and customary practice (tara bandu) but no named Indigenous group</t>
  </si>
  <si>
    <t>Local community with chief and customary law (tara bandu) but no named Indigenous group</t>
  </si>
  <si>
    <t>Main (Indigenous) inhabitants of Gau Island</t>
  </si>
  <si>
    <t>Sairaghi, Naro and Oibola communities (and Langa Langa lagoon people - who are Indigenous) mentioned, and references are made to community elders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</si>
</sst>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u/>
      <sz val="12"/>
      <color theme="1"/>
      <name val="Aptos Narrow"/>
      <scheme val="minor"/>
    </font>
    <font>
      <b/>
      <u/>
      <sz val="12"/>
      <color theme="1"/>
      <name val="Aptos Narrow (Body)"/>
    </font>
    <font>
      <u/>
      <sz val="12"/>
      <color theme="1"/>
      <name val="Aptos Narrow"/>
      <family val="2"/>
      <scheme val="minor"/>
    </font>
    <font>
      <sz val="12"/>
      <color rgb="FF000000"/>
      <name val="Aptos Narrow"/>
      <family val="2"/>
      <scheme val="minor"/>
    </font>
    <font>
      <b/>
      <sz val="12"/>
      <color theme="1"/>
      <name val="Aptos Narrow"/>
      <scheme val="minor"/>
    </font>
    <font>
      <sz val="8"/>
      <name val="Aptos Narrow"/>
      <family val="2"/>
      <scheme val="minor"/>
    </font>
    <font>
      <sz val="12"/>
      <color theme="1"/>
      <name val="Aptos Narrow"/>
      <scheme val="minor"/>
    </font>
    <font>
      <u/>
      <sz val="12"/>
      <color theme="10"/>
      <name val="Aptos Narrow"/>
      <family val="2"/>
      <scheme val="minor"/>
    </font>
    <font>
      <u/>
      <sz val="12"/>
      <color theme="1"/>
      <name val="Aptos Narrow (Body)"/>
    </font>
    <font>
      <sz val="12"/>
      <name val="Aptos Narrow"/>
      <family val="2"/>
      <scheme val="minor"/>
    </font>
    <font>
      <sz val="12"/>
      <color rgb="FF000000"/>
      <name val="Calibri"/>
      <family val="2"/>
    </font>
    <font>
      <sz val="12"/>
      <color rgb="FF006100"/>
      <name val="Aptos Narrow"/>
      <family val="2"/>
      <scheme val="minor"/>
    </font>
    <font>
      <sz val="12"/>
      <name val="Aptos Narrow"/>
      <scheme val="minor"/>
    </font>
    <font>
      <sz val="12"/>
      <color theme="1"/>
      <name val="Aptos Narrow (Body)"/>
    </font>
    <font>
      <i/>
      <sz val="12"/>
      <name val="Aptos Narrow"/>
      <scheme val="minor"/>
    </font>
  </fonts>
  <fills count="15">
    <fill>
      <patternFill patternType="none"/>
    </fill>
    <fill>
      <patternFill patternType="gray125"/>
    </fill>
    <fill>
      <patternFill patternType="solid">
        <fgColor rgb="FFF0E59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3ECB9"/>
        <bgColor indexed="64"/>
      </patternFill>
    </fill>
    <fill>
      <patternFill patternType="solid">
        <fgColor rgb="FFF2CEF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C6EFCE"/>
      </patternFill>
    </fill>
    <fill>
      <patternFill patternType="solid">
        <fgColor theme="9" tint="0.79998168889431442"/>
        <bgColor rgb="FF000000"/>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3">
    <xf numFmtId="0" fontId="0" fillId="0" borderId="0"/>
    <xf numFmtId="0" fontId="8" fillId="0" borderId="0" applyNumberFormat="0" applyFill="0" applyBorder="0" applyAlignment="0" applyProtection="0"/>
    <xf numFmtId="0" fontId="12" fillId="13" borderId="0" applyNumberFormat="0" applyBorder="0" applyAlignment="0" applyProtection="0"/>
  </cellStyleXfs>
  <cellXfs count="62">
    <xf numFmtId="0" fontId="0" fillId="0" borderId="0" xfId="0"/>
    <xf numFmtId="49" fontId="7" fillId="0" borderId="0" xfId="0" applyNumberFormat="1" applyFont="1" applyAlignment="1">
      <alignment horizontal="left"/>
    </xf>
    <xf numFmtId="0" fontId="7" fillId="0" borderId="0" xfId="0" applyFont="1"/>
    <xf numFmtId="0" fontId="0" fillId="0" borderId="0" xfId="0" applyAlignment="1">
      <alignment horizontal="left" vertical="center"/>
    </xf>
    <xf numFmtId="0" fontId="5" fillId="0" borderId="0" xfId="0" applyFont="1"/>
    <xf numFmtId="49" fontId="11" fillId="0" borderId="0" xfId="0" applyNumberFormat="1" applyFont="1" applyAlignment="1">
      <alignment horizontal="left"/>
    </xf>
    <xf numFmtId="0" fontId="4" fillId="14" borderId="0" xfId="0" applyFont="1" applyFill="1"/>
    <xf numFmtId="0" fontId="0" fillId="8" borderId="0" xfId="0" applyFill="1"/>
    <xf numFmtId="49" fontId="0" fillId="0" borderId="0" xfId="0" applyNumberFormat="1" applyAlignment="1">
      <alignment horizontal="left"/>
    </xf>
    <xf numFmtId="49" fontId="0" fillId="0" borderId="0" xfId="0" applyNumberFormat="1"/>
    <xf numFmtId="49" fontId="0" fillId="0" borderId="0" xfId="0" applyNumberFormat="1" applyAlignment="1">
      <alignment vertical="center"/>
    </xf>
    <xf numFmtId="49" fontId="0" fillId="0" borderId="0" xfId="0" applyNumberFormat="1" applyAlignment="1">
      <alignment horizontal="center" vertical="center"/>
    </xf>
    <xf numFmtId="0" fontId="0" fillId="0" borderId="0" xfId="0" applyAlignment="1">
      <alignment horizontal="right"/>
    </xf>
    <xf numFmtId="0" fontId="7" fillId="0" borderId="0" xfId="2" applyFont="1" applyFill="1" applyAlignment="1">
      <alignment horizontal="right"/>
    </xf>
    <xf numFmtId="0" fontId="0" fillId="9" borderId="0" xfId="0" applyFill="1" applyAlignment="1">
      <alignment horizontal="center" vertical="center"/>
    </xf>
    <xf numFmtId="0" fontId="1" fillId="10" borderId="0" xfId="0" applyFont="1" applyFill="1" applyAlignment="1">
      <alignment horizontal="center" vertical="center"/>
    </xf>
    <xf numFmtId="0" fontId="0" fillId="9" borderId="0" xfId="0" applyFill="1" applyAlignment="1">
      <alignment vertical="center"/>
    </xf>
    <xf numFmtId="0" fontId="7" fillId="9" borderId="0" xfId="0" applyFont="1" applyFill="1" applyAlignment="1">
      <alignment vertical="center"/>
    </xf>
    <xf numFmtId="0" fontId="10" fillId="0" borderId="0" xfId="0" applyFont="1"/>
    <xf numFmtId="49" fontId="13" fillId="0" borderId="0" xfId="0" applyNumberFormat="1" applyFont="1"/>
    <xf numFmtId="0" fontId="8" fillId="0" borderId="0" xfId="1" applyFill="1" applyAlignment="1">
      <alignment horizontal="left" vertical="top"/>
    </xf>
    <xf numFmtId="0" fontId="10" fillId="0" borderId="0" xfId="2" applyFont="1" applyFill="1" applyAlignment="1"/>
    <xf numFmtId="0" fontId="10" fillId="0" borderId="0" xfId="2" applyFont="1" applyFill="1"/>
    <xf numFmtId="0" fontId="0" fillId="0" borderId="0" xfId="0" applyAlignment="1">
      <alignment horizontal="left"/>
    </xf>
    <xf numFmtId="0" fontId="8" fillId="0" borderId="0" xfId="1" applyFill="1" applyAlignment="1">
      <alignment horizontal="left" vertical="center"/>
    </xf>
    <xf numFmtId="0" fontId="11" fillId="0" borderId="0" xfId="0" applyFont="1" applyAlignment="1">
      <alignment horizontal="left"/>
    </xf>
    <xf numFmtId="0" fontId="8" fillId="0" borderId="0" xfId="1" applyFill="1"/>
    <xf numFmtId="0" fontId="14" fillId="0" borderId="0" xfId="1" applyFont="1" applyFill="1" applyAlignment="1">
      <alignment horizontal="left" vertical="top"/>
    </xf>
    <xf numFmtId="49" fontId="7" fillId="0" borderId="0" xfId="0" applyNumberFormat="1" applyFont="1"/>
    <xf numFmtId="0" fontId="7" fillId="0" borderId="0" xfId="2" applyFont="1" applyFill="1" applyAlignment="1"/>
    <xf numFmtId="0" fontId="7" fillId="0" borderId="0" xfId="2" applyFont="1" applyFill="1"/>
    <xf numFmtId="0" fontId="7" fillId="0" borderId="0" xfId="0" applyFont="1" applyAlignment="1">
      <alignment horizontal="left"/>
    </xf>
    <xf numFmtId="0" fontId="0" fillId="0" borderId="0" xfId="0" quotePrefix="1"/>
    <xf numFmtId="0" fontId="0" fillId="0" borderId="0" xfId="0" applyAlignment="1">
      <alignment horizontal="left" vertical="top"/>
    </xf>
    <xf numFmtId="0" fontId="0" fillId="0" borderId="0" xfId="1" applyFont="1" applyFill="1" applyAlignment="1">
      <alignment horizontal="left" vertical="center"/>
    </xf>
    <xf numFmtId="0" fontId="10" fillId="0" borderId="0" xfId="0" quotePrefix="1" applyFont="1"/>
    <xf numFmtId="0" fontId="13" fillId="0" borderId="0" xfId="0" applyFont="1"/>
    <xf numFmtId="0" fontId="7" fillId="0" borderId="0" xfId="0" quotePrefix="1" applyFont="1"/>
    <xf numFmtId="0" fontId="13" fillId="0" borderId="0" xfId="2" applyFont="1" applyFill="1"/>
    <xf numFmtId="0" fontId="13" fillId="0" borderId="0" xfId="2" applyFont="1" applyFill="1" applyAlignment="1">
      <alignment horizontal="right"/>
    </xf>
    <xf numFmtId="0" fontId="13" fillId="0" borderId="0" xfId="2" applyFont="1" applyFill="1" applyAlignment="1">
      <alignment horizontal="left"/>
    </xf>
    <xf numFmtId="0" fontId="7" fillId="0" borderId="0" xfId="0" applyFont="1" applyAlignment="1">
      <alignment horizontal="right"/>
    </xf>
    <xf numFmtId="0" fontId="1" fillId="2" borderId="0" xfId="0" applyFont="1" applyFill="1" applyAlignment="1">
      <alignment horizontal="center" vertical="center"/>
    </xf>
    <xf numFmtId="0" fontId="1" fillId="3" borderId="0" xfId="0" applyFont="1" applyFill="1" applyAlignment="1">
      <alignment horizontal="center"/>
    </xf>
    <xf numFmtId="0" fontId="1" fillId="4" borderId="4" xfId="0" applyFont="1" applyFill="1" applyBorder="1" applyAlignment="1">
      <alignment horizontal="center"/>
    </xf>
    <xf numFmtId="0" fontId="2" fillId="11" borderId="0" xfId="0" applyFont="1" applyFill="1" applyAlignment="1">
      <alignment horizontal="center"/>
    </xf>
    <xf numFmtId="49" fontId="0" fillId="5" borderId="0" xfId="0" applyNumberFormat="1" applyFill="1" applyAlignment="1">
      <alignment horizontal="left" vertical="center"/>
    </xf>
    <xf numFmtId="49" fontId="0" fillId="5" borderId="0" xfId="0" applyNumberFormat="1" applyFill="1" applyAlignment="1">
      <alignment horizontal="center" vertical="center"/>
    </xf>
    <xf numFmtId="0" fontId="0" fillId="12" borderId="0" xfId="0" applyFill="1" applyAlignment="1">
      <alignment horizontal="center" vertical="center"/>
    </xf>
    <xf numFmtId="49" fontId="0" fillId="6" borderId="0" xfId="0" applyNumberFormat="1" applyFill="1" applyAlignment="1">
      <alignment horizontal="center" vertic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0" fillId="9" borderId="0" xfId="0" applyFill="1" applyAlignment="1">
      <alignment horizontal="center" vertical="center"/>
    </xf>
    <xf numFmtId="0" fontId="9" fillId="8" borderId="1" xfId="0" applyFont="1" applyFill="1" applyBorder="1" applyAlignment="1">
      <alignment horizontal="center"/>
    </xf>
    <xf numFmtId="0" fontId="9" fillId="8" borderId="2" xfId="0" applyFont="1" applyFill="1" applyBorder="1" applyAlignment="1">
      <alignment horizontal="center"/>
    </xf>
    <xf numFmtId="0" fontId="9" fillId="8" borderId="3" xfId="0" applyFont="1" applyFill="1" applyBorder="1" applyAlignment="1">
      <alignment horizontal="center"/>
    </xf>
    <xf numFmtId="49" fontId="0" fillId="7" borderId="0" xfId="0" applyNumberFormat="1" applyFill="1" applyAlignment="1">
      <alignment horizontal="center" vertical="center"/>
    </xf>
    <xf numFmtId="0" fontId="1" fillId="10" borderId="0" xfId="0" applyFont="1" applyFill="1" applyAlignment="1">
      <alignment horizontal="center" vertical="center"/>
    </xf>
    <xf numFmtId="0" fontId="5" fillId="9" borderId="0" xfId="0" applyFont="1" applyFill="1" applyAlignment="1">
      <alignment horizontal="center" vertical="center"/>
    </xf>
    <xf numFmtId="0" fontId="7" fillId="9" borderId="0" xfId="0" applyFont="1" applyFill="1" applyAlignment="1">
      <alignment horizontal="center" vertical="center"/>
    </xf>
    <xf numFmtId="0" fontId="5" fillId="9" borderId="5" xfId="0" applyFont="1" applyFill="1" applyBorder="1" applyAlignment="1">
      <alignment horizontal="center" vertical="center"/>
    </xf>
  </cellXfs>
  <cellStyles count="3">
    <cellStyle name="Good" xfId="2" builtinId="26"/>
    <cellStyle name="Hyperlink" xfId="1" builtinId="8"/>
    <cellStyle name="Normal" xfId="0" builtinId="0"/>
  </cellStyles>
  <dxfs count="0"/>
  <tableStyles count="0" defaultTableStyle="TableStyleMedium2" defaultPivotStyle="PivotStyleLight16"/>
  <colors>
    <mruColors>
      <color rgb="FF215F9B"/>
      <color rgb="FF4E95DA"/>
      <color rgb="FFFF6C67"/>
      <color rgb="FFB2C7AB"/>
      <color rgb="FFAAC5AD"/>
      <color rgb="FFF2DBF2"/>
      <color rgb="FFACC0AD"/>
      <color rgb="FFEEF5FF"/>
      <color rgb="FFEAF2FB"/>
      <color rgb="FFEC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80/17565529.2020.1867046" TargetMode="External"/><Relationship Id="rId18" Type="http://schemas.openxmlformats.org/officeDocument/2006/relationships/hyperlink" Target="https://doi.org/10.1111/disa.12539" TargetMode="External"/><Relationship Id="rId26" Type="http://schemas.openxmlformats.org/officeDocument/2006/relationships/hyperlink" Target="https://doi.org/10.1007/s10745-023-00401-4" TargetMode="External"/><Relationship Id="rId39" Type="http://schemas.openxmlformats.org/officeDocument/2006/relationships/hyperlink" Target="https://doi.org/10.1016/j.agee.2018.07.002" TargetMode="External"/><Relationship Id="rId21" Type="http://schemas.openxmlformats.org/officeDocument/2006/relationships/hyperlink" Target="https://doi.org/10.1016/B978-0-323-91716-2.00024-8" TargetMode="External"/><Relationship Id="rId34" Type="http://schemas.openxmlformats.org/officeDocument/2006/relationships/hyperlink" Target="https://doi.org/10.1016/S0167-8809(00)00292-9" TargetMode="External"/><Relationship Id="rId7" Type="http://schemas.openxmlformats.org/officeDocument/2006/relationships/hyperlink" Target="https://doi.org/10.1109/OCEANS.2005.1639829" TargetMode="External"/><Relationship Id="rId2" Type="http://schemas.openxmlformats.org/officeDocument/2006/relationships/hyperlink" Target="https://doi.org/10.1007/978-3-319-50094-2_6" TargetMode="External"/><Relationship Id="rId16" Type="http://schemas.openxmlformats.org/officeDocument/2006/relationships/hyperlink" Target="https://doi.org/10.1016/j.ecolecon.2012.10.009" TargetMode="External"/><Relationship Id="rId20" Type="http://schemas.openxmlformats.org/officeDocument/2006/relationships/hyperlink" Target="https://doi.org/10.1016/j.envsci.2020.03.016" TargetMode="External"/><Relationship Id="rId29" Type="http://schemas.openxmlformats.org/officeDocument/2006/relationships/hyperlink" Target="https://doi.org/10.1007/978-3-031-37376-3_3" TargetMode="External"/><Relationship Id="rId41" Type="http://schemas.openxmlformats.org/officeDocument/2006/relationships/hyperlink" Target="https://doi.org/10.1525/elementa.325" TargetMode="External"/><Relationship Id="rId1" Type="http://schemas.openxmlformats.org/officeDocument/2006/relationships/hyperlink" Target="https://doi.org/10.1007/978-3-319-50094-2_23" TargetMode="External"/><Relationship Id="rId6" Type="http://schemas.openxmlformats.org/officeDocument/2006/relationships/hyperlink" Target="https://doi.org/10.1007/978-3-030-22759-3_92-1" TargetMode="External"/><Relationship Id="rId11" Type="http://schemas.openxmlformats.org/officeDocument/2006/relationships/hyperlink" Target="https://doi.org/10.3389/fmars.2019.00392" TargetMode="External"/><Relationship Id="rId24" Type="http://schemas.openxmlformats.org/officeDocument/2006/relationships/hyperlink" Target="https://doi.org/10.1007/s10708-023-10850-5" TargetMode="External"/><Relationship Id="rId32" Type="http://schemas.openxmlformats.org/officeDocument/2006/relationships/hyperlink" Target="https://doi.org/10.1016/j.ecoleng.2012.08.031" TargetMode="External"/><Relationship Id="rId37" Type="http://schemas.openxmlformats.org/officeDocument/2006/relationships/hyperlink" Target="https://doi.org/10.1080/01426397.2024.2329602" TargetMode="External"/><Relationship Id="rId40" Type="http://schemas.openxmlformats.org/officeDocument/2006/relationships/hyperlink" Target="https://doi.org/10.1080/17565529.2023.2277248" TargetMode="External"/><Relationship Id="rId5" Type="http://schemas.openxmlformats.org/officeDocument/2006/relationships/hyperlink" Target="https://doi.org/10.1007/s11625-016-0361-9" TargetMode="External"/><Relationship Id="rId15" Type="http://schemas.openxmlformats.org/officeDocument/2006/relationships/hyperlink" Target="https://doi.org/10.17660/ActaHortic.2015.1101.4" TargetMode="External"/><Relationship Id="rId23" Type="http://schemas.openxmlformats.org/officeDocument/2006/relationships/hyperlink" Target="https://doi.org/10.1080/08941920.2021.2011996" TargetMode="External"/><Relationship Id="rId28" Type="http://schemas.openxmlformats.org/officeDocument/2006/relationships/hyperlink" Target="https://doi.org/10.1007/978-3-031-37376-3_3" TargetMode="External"/><Relationship Id="rId36" Type="http://schemas.openxmlformats.org/officeDocument/2006/relationships/hyperlink" Target="https://doi.org/10.1111/conl.12755" TargetMode="External"/><Relationship Id="rId10" Type="http://schemas.openxmlformats.org/officeDocument/2006/relationships/hyperlink" Target="https://doi.org/10.3389/fmars.2019.00392" TargetMode="External"/><Relationship Id="rId19" Type="http://schemas.openxmlformats.org/officeDocument/2006/relationships/hyperlink" Target="https://doi.org/10.1111/disa.12539" TargetMode="External"/><Relationship Id="rId31" Type="http://schemas.openxmlformats.org/officeDocument/2006/relationships/hyperlink" Target="https://doi.org/10.1016/j.wse.2023.08.004" TargetMode="External"/><Relationship Id="rId4" Type="http://schemas.openxmlformats.org/officeDocument/2006/relationships/hyperlink" Target="https://doi.org/10.1007/978-3-319-50094-2_1" TargetMode="External"/><Relationship Id="rId9" Type="http://schemas.openxmlformats.org/officeDocument/2006/relationships/hyperlink" Target="https://doi.org/10.1093/jue/juab020" TargetMode="External"/><Relationship Id="rId14" Type="http://schemas.openxmlformats.org/officeDocument/2006/relationships/hyperlink" Target="https://doi.org/10.1080/13504509.2014.957254" TargetMode="External"/><Relationship Id="rId22" Type="http://schemas.openxmlformats.org/officeDocument/2006/relationships/hyperlink" Target="https://doi.org/10.1080/14728028.2020.1798817" TargetMode="External"/><Relationship Id="rId27" Type="http://schemas.openxmlformats.org/officeDocument/2006/relationships/hyperlink" Target="https://doi.org/10.1186/s42269-023-01087-w" TargetMode="External"/><Relationship Id="rId30" Type="http://schemas.openxmlformats.org/officeDocument/2006/relationships/hyperlink" Target="https://doi.org/10.1007/978-3-031-37376-3_3" TargetMode="External"/><Relationship Id="rId35" Type="http://schemas.openxmlformats.org/officeDocument/2006/relationships/hyperlink" Target="https://doi.org/10.1016/j.jenvman.2018.01.024" TargetMode="External"/><Relationship Id="rId8" Type="http://schemas.openxmlformats.org/officeDocument/2006/relationships/hyperlink" Target="https://doi.org/10.3390/agriculture13010159" TargetMode="External"/><Relationship Id="rId3" Type="http://schemas.openxmlformats.org/officeDocument/2006/relationships/hyperlink" Target="https://doi.org/10.1371/journal.pone.0134244" TargetMode="External"/><Relationship Id="rId12" Type="http://schemas.openxmlformats.org/officeDocument/2006/relationships/hyperlink" Target="https://doi.org/10.1016/j.ecss.2016.06.027" TargetMode="External"/><Relationship Id="rId17" Type="http://schemas.openxmlformats.org/officeDocument/2006/relationships/hyperlink" Target="https://doi.org/10.1016/j.geoderma.2014.09.015" TargetMode="External"/><Relationship Id="rId25" Type="http://schemas.openxmlformats.org/officeDocument/2006/relationships/hyperlink" Target="https://doi.org/10.1007/978-3-319-70703-7_2" TargetMode="External"/><Relationship Id="rId33" Type="http://schemas.openxmlformats.org/officeDocument/2006/relationships/hyperlink" Target="https://doi.org/10.37757/mr2018.v20.n2.13" TargetMode="External"/><Relationship Id="rId38" Type="http://schemas.openxmlformats.org/officeDocument/2006/relationships/hyperlink" Target="https://doi.org/10.2307/3673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45BB-52C6-A649-85DD-F48A30B70A85}">
  <sheetPr>
    <tabColor theme="1"/>
  </sheetPr>
  <dimension ref="A1:AT144"/>
  <sheetViews>
    <sheetView tabSelected="1" zoomScale="75" zoomScaleNormal="140" workbookViewId="0">
      <pane xSplit="3" topLeftCell="D1" activePane="topRight" state="frozen"/>
      <selection pane="topRight" activeCell="D34" sqref="D34"/>
    </sheetView>
  </sheetViews>
  <sheetFormatPr baseColWidth="10" defaultRowHeight="16" x14ac:dyDescent="0.2"/>
  <cols>
    <col min="1" max="1" width="10.5" bestFit="1" customWidth="1"/>
    <col min="2" max="2" width="15.83203125" customWidth="1"/>
    <col min="3" max="3" width="23.5" customWidth="1"/>
    <col min="4" max="4" width="22.33203125" style="11" customWidth="1"/>
    <col min="5" max="5" width="14" style="3" customWidth="1"/>
    <col min="6" max="6" width="14.33203125" style="3" bestFit="1" customWidth="1"/>
    <col min="7" max="8" width="17.6640625" style="3" customWidth="1"/>
    <col min="9" max="9" width="22.33203125" customWidth="1"/>
    <col min="10" max="10" width="11.5" customWidth="1"/>
    <col min="11" max="11" width="32.1640625" customWidth="1"/>
    <col min="12" max="12" width="21" bestFit="1" customWidth="1"/>
    <col min="13" max="13" width="27.1640625" customWidth="1"/>
    <col min="14" max="14" width="17.1640625" customWidth="1"/>
    <col min="15" max="15" width="14.5" customWidth="1"/>
    <col min="16" max="16" width="14.33203125" customWidth="1"/>
    <col min="17" max="17" width="17.5" customWidth="1"/>
    <col min="18" max="18" width="14.1640625" customWidth="1"/>
    <col min="19" max="19" width="22.33203125" bestFit="1" customWidth="1"/>
    <col min="20" max="20" width="19.1640625" customWidth="1"/>
    <col min="21" max="21" width="33" customWidth="1"/>
    <col min="22" max="22" width="23.6640625" bestFit="1" customWidth="1"/>
    <col min="23" max="23" width="8.83203125" bestFit="1" customWidth="1"/>
    <col min="24" max="24" width="8.6640625" customWidth="1"/>
    <col min="25" max="25" width="8.83203125" bestFit="1" customWidth="1"/>
    <col min="26" max="26" width="12.5" customWidth="1"/>
    <col min="27" max="27" width="8.83203125" bestFit="1" customWidth="1"/>
    <col min="28" max="28" width="12.5" customWidth="1"/>
    <col min="29" max="29" width="20.6640625" customWidth="1"/>
    <col min="30" max="30" width="22.5" bestFit="1" customWidth="1"/>
    <col min="31" max="31" width="22.5" customWidth="1"/>
    <col min="32" max="32" width="18.6640625" customWidth="1"/>
    <col min="33" max="33" width="18.1640625" customWidth="1"/>
    <col min="34" max="34" width="23.1640625" customWidth="1"/>
    <col min="35" max="35" width="18.1640625" customWidth="1"/>
    <col min="36" max="36" width="29.1640625" customWidth="1"/>
    <col min="37" max="37" width="22.5" bestFit="1" customWidth="1"/>
    <col min="38" max="38" width="22" customWidth="1"/>
    <col min="39" max="39" width="27.1640625" customWidth="1"/>
    <col min="40" max="40" width="26" bestFit="1" customWidth="1"/>
    <col min="41" max="41" width="12" bestFit="1" customWidth="1"/>
    <col min="42" max="42" width="25.1640625" customWidth="1"/>
    <col min="43" max="43" width="43" bestFit="1" customWidth="1"/>
    <col min="44" max="44" width="57.6640625" bestFit="1" customWidth="1"/>
    <col min="45" max="45" width="44.1640625" bestFit="1" customWidth="1"/>
    <col min="46" max="46" width="41.33203125" bestFit="1" customWidth="1"/>
    <col min="47" max="47" width="50" bestFit="1" customWidth="1"/>
  </cols>
  <sheetData>
    <row r="1" spans="1:46" x14ac:dyDescent="0.2">
      <c r="A1" s="42" t="s">
        <v>8</v>
      </c>
      <c r="B1" s="42"/>
      <c r="C1" s="42"/>
      <c r="D1" s="42"/>
      <c r="E1" s="42"/>
      <c r="F1" s="42"/>
      <c r="G1" s="42"/>
      <c r="H1" s="42"/>
      <c r="I1" s="43" t="s">
        <v>548</v>
      </c>
      <c r="J1" s="43"/>
      <c r="K1" s="43"/>
      <c r="L1" s="43"/>
      <c r="M1" s="43"/>
      <c r="N1" s="58" t="s">
        <v>549</v>
      </c>
      <c r="O1" s="58"/>
      <c r="P1" s="58"/>
      <c r="Q1" s="58"/>
      <c r="R1" s="58"/>
      <c r="S1" s="58"/>
      <c r="T1" s="58"/>
      <c r="U1" s="58"/>
      <c r="V1" s="58"/>
      <c r="W1" s="58"/>
      <c r="X1" s="58"/>
      <c r="Y1" s="58"/>
      <c r="Z1" s="58"/>
      <c r="AA1" s="58"/>
      <c r="AB1" s="58"/>
      <c r="AC1" s="58"/>
      <c r="AD1" s="58"/>
      <c r="AE1" s="15"/>
      <c r="AF1" s="44" t="s">
        <v>14</v>
      </c>
      <c r="AG1" s="44"/>
      <c r="AH1" s="44"/>
      <c r="AI1" s="44"/>
      <c r="AJ1" s="44"/>
      <c r="AK1" s="44"/>
      <c r="AL1" s="44"/>
      <c r="AM1" s="44"/>
      <c r="AN1" s="44"/>
      <c r="AO1" s="45" t="s">
        <v>12</v>
      </c>
      <c r="AP1" s="45"/>
    </row>
    <row r="2" spans="1:46" x14ac:dyDescent="0.2">
      <c r="A2" s="46" t="s">
        <v>649</v>
      </c>
      <c r="B2" s="47" t="s">
        <v>756</v>
      </c>
      <c r="C2" s="47" t="s">
        <v>0</v>
      </c>
      <c r="D2" s="47" t="s">
        <v>2</v>
      </c>
      <c r="E2" s="47" t="s">
        <v>333</v>
      </c>
      <c r="F2" s="46" t="s">
        <v>380</v>
      </c>
      <c r="G2" s="46" t="s">
        <v>9</v>
      </c>
      <c r="H2" s="47" t="s">
        <v>1</v>
      </c>
      <c r="I2" s="49" t="s">
        <v>381</v>
      </c>
      <c r="J2" s="49" t="s">
        <v>290</v>
      </c>
      <c r="K2" s="49" t="s">
        <v>869</v>
      </c>
      <c r="L2" s="57" t="s">
        <v>755</v>
      </c>
      <c r="M2" s="49" t="s">
        <v>27</v>
      </c>
      <c r="N2" s="53" t="s">
        <v>704</v>
      </c>
      <c r="O2" s="53" t="s">
        <v>550</v>
      </c>
      <c r="P2" s="53" t="s">
        <v>21</v>
      </c>
      <c r="Q2" s="53" t="s">
        <v>551</v>
      </c>
      <c r="R2" s="60" t="s">
        <v>651</v>
      </c>
      <c r="S2" s="59" t="s">
        <v>852</v>
      </c>
      <c r="T2" s="60"/>
      <c r="U2" s="60"/>
      <c r="V2" s="60"/>
      <c r="W2" s="59" t="s">
        <v>768</v>
      </c>
      <c r="X2" s="59"/>
      <c r="Y2" s="59" t="s">
        <v>769</v>
      </c>
      <c r="Z2" s="59"/>
      <c r="AA2" s="59" t="s">
        <v>784</v>
      </c>
      <c r="AB2" s="59"/>
      <c r="AC2" s="59" t="s">
        <v>854</v>
      </c>
      <c r="AD2" s="59"/>
      <c r="AE2" s="61"/>
      <c r="AF2" s="50" t="s">
        <v>17</v>
      </c>
      <c r="AG2" s="51"/>
      <c r="AH2" s="52"/>
      <c r="AI2" s="50" t="s">
        <v>15</v>
      </c>
      <c r="AJ2" s="51"/>
      <c r="AK2" s="52"/>
      <c r="AL2" s="54" t="s">
        <v>16</v>
      </c>
      <c r="AM2" s="55"/>
      <c r="AN2" s="56"/>
      <c r="AO2" s="48" t="s">
        <v>11</v>
      </c>
      <c r="AP2" s="48" t="s">
        <v>781</v>
      </c>
    </row>
    <row r="3" spans="1:46" x14ac:dyDescent="0.2">
      <c r="A3" s="46"/>
      <c r="B3" s="47"/>
      <c r="C3" s="47"/>
      <c r="D3" s="47"/>
      <c r="E3" s="47"/>
      <c r="F3" s="46"/>
      <c r="G3" s="46"/>
      <c r="H3" s="47"/>
      <c r="I3" s="49"/>
      <c r="J3" s="49"/>
      <c r="K3" s="49"/>
      <c r="L3" s="57"/>
      <c r="M3" s="49"/>
      <c r="N3" s="53"/>
      <c r="O3" s="53"/>
      <c r="P3" s="53"/>
      <c r="Q3" s="53"/>
      <c r="R3" s="60"/>
      <c r="S3" s="17" t="s">
        <v>872</v>
      </c>
      <c r="T3" s="17" t="s">
        <v>552</v>
      </c>
      <c r="U3" s="16" t="s">
        <v>873</v>
      </c>
      <c r="V3" s="16" t="s">
        <v>870</v>
      </c>
      <c r="W3" s="16" t="s">
        <v>871</v>
      </c>
      <c r="X3" s="14" t="s">
        <v>785</v>
      </c>
      <c r="Y3" s="16" t="s">
        <v>871</v>
      </c>
      <c r="Z3" s="14" t="s">
        <v>785</v>
      </c>
      <c r="AA3" s="16" t="s">
        <v>871</v>
      </c>
      <c r="AB3" s="14" t="s">
        <v>785</v>
      </c>
      <c r="AC3" s="16" t="s">
        <v>652</v>
      </c>
      <c r="AD3" s="16" t="s">
        <v>653</v>
      </c>
      <c r="AE3" s="16" t="s">
        <v>785</v>
      </c>
      <c r="AF3" s="7" t="s">
        <v>18</v>
      </c>
      <c r="AG3" s="7" t="s">
        <v>13</v>
      </c>
      <c r="AH3" s="7" t="s">
        <v>874</v>
      </c>
      <c r="AI3" s="7" t="s">
        <v>19</v>
      </c>
      <c r="AJ3" s="6" t="s">
        <v>25</v>
      </c>
      <c r="AK3" s="7" t="s">
        <v>875</v>
      </c>
      <c r="AL3" s="6" t="s">
        <v>20</v>
      </c>
      <c r="AM3" s="6" t="s">
        <v>26</v>
      </c>
      <c r="AN3" s="7" t="s">
        <v>876</v>
      </c>
      <c r="AO3" s="48"/>
      <c r="AP3" s="48"/>
      <c r="AQ3" s="4"/>
      <c r="AR3" s="4"/>
      <c r="AS3" s="4"/>
      <c r="AT3" s="4"/>
    </row>
    <row r="4" spans="1:46" x14ac:dyDescent="0.2">
      <c r="A4" s="1" t="s">
        <v>81</v>
      </c>
      <c r="B4" s="1" t="s">
        <v>408</v>
      </c>
      <c r="C4" s="18" t="s">
        <v>553</v>
      </c>
      <c r="D4" s="19" t="s">
        <v>35</v>
      </c>
      <c r="E4" s="18" t="s">
        <v>334</v>
      </c>
      <c r="F4" s="18">
        <v>2021</v>
      </c>
      <c r="G4" s="18" t="s">
        <v>177</v>
      </c>
      <c r="H4" s="20" t="s">
        <v>252</v>
      </c>
      <c r="I4" s="21" t="s">
        <v>221</v>
      </c>
      <c r="J4" s="18" t="s">
        <v>291</v>
      </c>
      <c r="K4" s="18" t="s">
        <v>10</v>
      </c>
      <c r="L4" s="18" t="s">
        <v>659</v>
      </c>
      <c r="M4" s="18" t="s">
        <v>305</v>
      </c>
      <c r="N4" s="22" t="s">
        <v>382</v>
      </c>
      <c r="O4" s="18" t="s">
        <v>574</v>
      </c>
      <c r="P4" s="18" t="s">
        <v>598</v>
      </c>
      <c r="Q4" s="18" t="s">
        <v>644</v>
      </c>
      <c r="R4" s="22" t="s">
        <v>217</v>
      </c>
      <c r="S4" s="22" t="s">
        <v>5</v>
      </c>
      <c r="T4" s="39">
        <v>3</v>
      </c>
      <c r="U4" s="2" t="s">
        <v>783</v>
      </c>
      <c r="V4" t="str" cm="1">
        <f t="array" ref="V4">_xlfn.IFS(T4="Not Applicable", "Not Applicable", T4&lt;=3,"Low",T4&gt;=4, "High")</f>
        <v>Low</v>
      </c>
      <c r="W4" t="s">
        <v>4</v>
      </c>
      <c r="Y4" t="s">
        <v>5</v>
      </c>
      <c r="Z4" t="s">
        <v>819</v>
      </c>
      <c r="AA4" t="s">
        <v>4</v>
      </c>
      <c r="AC4" t="s">
        <v>4</v>
      </c>
      <c r="AF4" t="s">
        <v>5</v>
      </c>
      <c r="AG4" s="18" t="s">
        <v>249</v>
      </c>
      <c r="AH4" t="s">
        <v>7</v>
      </c>
      <c r="AI4" s="22" t="s">
        <v>5</v>
      </c>
      <c r="AJ4" t="s">
        <v>457</v>
      </c>
      <c r="AK4" s="22" t="s">
        <v>3</v>
      </c>
      <c r="AL4" s="18" t="s">
        <v>4</v>
      </c>
      <c r="AM4" s="18" t="s">
        <v>248</v>
      </c>
      <c r="AN4" t="s">
        <v>22</v>
      </c>
      <c r="AO4" s="18" t="s">
        <v>570</v>
      </c>
    </row>
    <row r="5" spans="1:46" ht="17" customHeight="1" x14ac:dyDescent="0.2">
      <c r="A5" s="1" t="s">
        <v>82</v>
      </c>
      <c r="B5" s="1" t="s">
        <v>409</v>
      </c>
      <c r="C5" s="18" t="s">
        <v>135</v>
      </c>
      <c r="D5" s="19" t="s">
        <v>36</v>
      </c>
      <c r="E5" s="18" t="s">
        <v>335</v>
      </c>
      <c r="F5" s="18">
        <v>2023</v>
      </c>
      <c r="G5" s="18" t="s">
        <v>178</v>
      </c>
      <c r="H5" s="20" t="s">
        <v>253</v>
      </c>
      <c r="I5" s="21" t="s">
        <v>222</v>
      </c>
      <c r="J5" s="18" t="s">
        <v>292</v>
      </c>
      <c r="K5" s="18" t="s">
        <v>294</v>
      </c>
      <c r="L5" s="18" t="s">
        <v>682</v>
      </c>
      <c r="M5" s="18" t="s">
        <v>306</v>
      </c>
      <c r="N5" s="22" t="s">
        <v>383</v>
      </c>
      <c r="O5" s="18" t="s">
        <v>694</v>
      </c>
      <c r="P5" s="18" t="s">
        <v>575</v>
      </c>
      <c r="Q5" s="18" t="s">
        <v>623</v>
      </c>
      <c r="R5" s="22" t="s">
        <v>217</v>
      </c>
      <c r="S5" s="22" t="s">
        <v>5</v>
      </c>
      <c r="T5" s="39">
        <v>3</v>
      </c>
      <c r="U5" s="2" t="s">
        <v>773</v>
      </c>
      <c r="V5" t="str" cm="1">
        <f t="array" ref="V5">_xlfn.IFS(T5="Not Applicable", "Not Applicable", T5&lt;=3,"Low",T5&gt;=4, "High")</f>
        <v>Low</v>
      </c>
      <c r="W5" t="s">
        <v>5</v>
      </c>
      <c r="X5" t="s">
        <v>786</v>
      </c>
      <c r="Y5" t="s">
        <v>5</v>
      </c>
      <c r="Z5" t="s">
        <v>820</v>
      </c>
      <c r="AA5" t="s">
        <v>4</v>
      </c>
      <c r="AC5" t="s">
        <v>5</v>
      </c>
      <c r="AD5" s="2" t="s">
        <v>859</v>
      </c>
      <c r="AE5" s="2" t="s">
        <v>860</v>
      </c>
      <c r="AF5" t="s">
        <v>5</v>
      </c>
      <c r="AG5" t="s">
        <v>506</v>
      </c>
      <c r="AH5" t="s">
        <v>3</v>
      </c>
      <c r="AI5" s="22" t="s">
        <v>4</v>
      </c>
      <c r="AJ5" t="s">
        <v>248</v>
      </c>
      <c r="AK5" s="22" t="s">
        <v>248</v>
      </c>
      <c r="AL5" s="18" t="s">
        <v>5</v>
      </c>
      <c r="AM5" s="18" t="s">
        <v>485</v>
      </c>
      <c r="AN5" t="s">
        <v>3</v>
      </c>
      <c r="AO5" s="18" t="s">
        <v>571</v>
      </c>
    </row>
    <row r="6" spans="1:46" x14ac:dyDescent="0.2">
      <c r="A6" s="1" t="s">
        <v>83</v>
      </c>
      <c r="B6" s="1" t="s">
        <v>410</v>
      </c>
      <c r="C6" s="18" t="s">
        <v>136</v>
      </c>
      <c r="D6" s="19" t="s">
        <v>37</v>
      </c>
      <c r="E6" s="18" t="s">
        <v>336</v>
      </c>
      <c r="F6" s="18">
        <v>2017</v>
      </c>
      <c r="G6" s="18" t="s">
        <v>179</v>
      </c>
      <c r="H6" s="20" t="s">
        <v>272</v>
      </c>
      <c r="I6" s="21" t="s">
        <v>223</v>
      </c>
      <c r="J6" s="18" t="s">
        <v>292</v>
      </c>
      <c r="K6" s="18" t="s">
        <v>405</v>
      </c>
      <c r="L6" s="18" t="s">
        <v>654</v>
      </c>
      <c r="M6" s="18" t="s">
        <v>307</v>
      </c>
      <c r="N6" s="22" t="s">
        <v>384</v>
      </c>
      <c r="O6" s="18" t="s">
        <v>576</v>
      </c>
      <c r="P6" s="18" t="s">
        <v>576</v>
      </c>
      <c r="Q6" s="18" t="s">
        <v>624</v>
      </c>
      <c r="R6" s="22" t="s">
        <v>217</v>
      </c>
      <c r="S6" s="22" t="s">
        <v>5</v>
      </c>
      <c r="T6" s="39">
        <v>4</v>
      </c>
      <c r="U6" s="2" t="s">
        <v>657</v>
      </c>
      <c r="V6" t="str" cm="1">
        <f t="array" ref="V6">_xlfn.IFS(T6="Not Applicable", "Not Applicable", T6&lt;=3,"Low",T6&gt;=4, "High")</f>
        <v>High</v>
      </c>
      <c r="W6" t="s">
        <v>4</v>
      </c>
      <c r="X6" t="s">
        <v>787</v>
      </c>
      <c r="Y6" t="s">
        <v>5</v>
      </c>
      <c r="Z6" t="s">
        <v>821</v>
      </c>
      <c r="AA6" t="s">
        <v>5</v>
      </c>
      <c r="AB6" t="s">
        <v>837</v>
      </c>
      <c r="AC6" t="s">
        <v>4</v>
      </c>
      <c r="AD6" s="2"/>
      <c r="AE6" s="2" t="s">
        <v>861</v>
      </c>
      <c r="AF6" t="s">
        <v>5</v>
      </c>
      <c r="AG6" t="s">
        <v>507</v>
      </c>
      <c r="AH6" t="s">
        <v>6</v>
      </c>
      <c r="AI6" s="22" t="s">
        <v>5</v>
      </c>
      <c r="AJ6" t="s">
        <v>458</v>
      </c>
      <c r="AK6" s="22" t="s">
        <v>3</v>
      </c>
      <c r="AL6" s="18" t="s">
        <v>4</v>
      </c>
      <c r="AM6" s="18" t="s">
        <v>486</v>
      </c>
      <c r="AN6" t="s">
        <v>22</v>
      </c>
      <c r="AO6" s="18" t="s">
        <v>570</v>
      </c>
    </row>
    <row r="7" spans="1:46" x14ac:dyDescent="0.2">
      <c r="A7" s="1" t="s">
        <v>84</v>
      </c>
      <c r="B7" s="1" t="s">
        <v>411</v>
      </c>
      <c r="C7" s="18" t="s">
        <v>137</v>
      </c>
      <c r="D7" s="19" t="s">
        <v>38</v>
      </c>
      <c r="E7" s="18" t="s">
        <v>337</v>
      </c>
      <c r="F7" s="18">
        <v>2017</v>
      </c>
      <c r="G7" s="18" t="s">
        <v>179</v>
      </c>
      <c r="H7" s="20" t="s">
        <v>273</v>
      </c>
      <c r="I7" s="21" t="s">
        <v>224</v>
      </c>
      <c r="J7" s="18" t="s">
        <v>292</v>
      </c>
      <c r="K7" s="18" t="s">
        <v>295</v>
      </c>
      <c r="L7" s="18" t="s">
        <v>308</v>
      </c>
      <c r="M7" s="18" t="s">
        <v>308</v>
      </c>
      <c r="N7" s="22" t="s">
        <v>219</v>
      </c>
      <c r="O7" s="18" t="s">
        <v>219</v>
      </c>
      <c r="P7" s="18" t="s">
        <v>219</v>
      </c>
      <c r="Q7" s="18" t="s">
        <v>625</v>
      </c>
      <c r="R7" s="22" t="s">
        <v>217</v>
      </c>
      <c r="S7" s="22" t="s">
        <v>7</v>
      </c>
      <c r="T7" s="39" t="s">
        <v>248</v>
      </c>
      <c r="U7" s="38" t="s">
        <v>248</v>
      </c>
      <c r="V7" t="str" cm="1">
        <f t="array" ref="V7">_xlfn.IFS(T7="Not Applicable", "Not Applicable", T7&lt;=3,"Low",T7&gt;=4, "High")</f>
        <v>Not Applicable</v>
      </c>
      <c r="W7" t="s">
        <v>5</v>
      </c>
      <c r="X7" t="s">
        <v>788</v>
      </c>
      <c r="Y7" t="s">
        <v>4</v>
      </c>
      <c r="AA7" t="s">
        <v>4</v>
      </c>
      <c r="AC7" t="s">
        <v>7</v>
      </c>
      <c r="AD7" s="2"/>
      <c r="AE7" s="2" t="s">
        <v>862</v>
      </c>
      <c r="AF7" t="s">
        <v>5</v>
      </c>
      <c r="AG7" t="s">
        <v>508</v>
      </c>
      <c r="AH7" t="s">
        <v>3</v>
      </c>
      <c r="AI7" s="22" t="s">
        <v>5</v>
      </c>
      <c r="AJ7" s="23" t="s">
        <v>459</v>
      </c>
      <c r="AK7" s="22" t="s">
        <v>3</v>
      </c>
      <c r="AL7" s="18" t="s">
        <v>5</v>
      </c>
      <c r="AM7" s="23" t="s">
        <v>487</v>
      </c>
      <c r="AN7" t="s">
        <v>3</v>
      </c>
      <c r="AO7" s="18" t="s">
        <v>572</v>
      </c>
    </row>
    <row r="8" spans="1:46" x14ac:dyDescent="0.2">
      <c r="A8" s="1" t="s">
        <v>85</v>
      </c>
      <c r="B8" s="1" t="s">
        <v>412</v>
      </c>
      <c r="C8" s="18" t="s">
        <v>554</v>
      </c>
      <c r="D8" s="19" t="s">
        <v>39</v>
      </c>
      <c r="E8" s="18" t="s">
        <v>338</v>
      </c>
      <c r="F8" s="18">
        <v>2015</v>
      </c>
      <c r="G8" s="18" t="s">
        <v>650</v>
      </c>
      <c r="H8" s="20" t="s">
        <v>274</v>
      </c>
      <c r="I8" s="21" t="s">
        <v>225</v>
      </c>
      <c r="J8" s="18" t="s">
        <v>291</v>
      </c>
      <c r="K8" s="18" t="s">
        <v>295</v>
      </c>
      <c r="L8" s="18" t="s">
        <v>660</v>
      </c>
      <c r="M8" s="18" t="s">
        <v>309</v>
      </c>
      <c r="N8" s="22" t="s">
        <v>385</v>
      </c>
      <c r="O8" s="18" t="s">
        <v>713</v>
      </c>
      <c r="P8" s="18" t="s">
        <v>599</v>
      </c>
      <c r="Q8" s="18" t="s">
        <v>698</v>
      </c>
      <c r="R8" s="22" t="s">
        <v>217</v>
      </c>
      <c r="S8" s="22" t="s">
        <v>7</v>
      </c>
      <c r="T8" s="39" t="s">
        <v>248</v>
      </c>
      <c r="U8" s="2" t="s">
        <v>248</v>
      </c>
      <c r="V8" t="str" cm="1">
        <f t="array" ref="V8">_xlfn.IFS(T8="Not Applicable", "Not Applicable", T8&lt;=3,"Low",T8&gt;=4, "High")</f>
        <v>Not Applicable</v>
      </c>
      <c r="W8" t="s">
        <v>4</v>
      </c>
      <c r="X8" t="s">
        <v>789</v>
      </c>
      <c r="Y8" t="s">
        <v>4</v>
      </c>
      <c r="AA8" t="s">
        <v>4</v>
      </c>
      <c r="AC8" t="s">
        <v>4</v>
      </c>
      <c r="AD8" s="2"/>
      <c r="AE8" s="2"/>
      <c r="AF8" t="s">
        <v>5</v>
      </c>
      <c r="AG8" t="s">
        <v>509</v>
      </c>
      <c r="AH8" t="s">
        <v>6</v>
      </c>
      <c r="AI8" s="22" t="s">
        <v>4</v>
      </c>
      <c r="AJ8" t="s">
        <v>248</v>
      </c>
      <c r="AK8" s="22" t="s">
        <v>248</v>
      </c>
      <c r="AL8" s="18" t="s">
        <v>4</v>
      </c>
      <c r="AM8" t="s">
        <v>248</v>
      </c>
      <c r="AN8" t="s">
        <v>248</v>
      </c>
      <c r="AO8" s="18" t="s">
        <v>571</v>
      </c>
    </row>
    <row r="9" spans="1:46" s="2" customFormat="1" x14ac:dyDescent="0.2">
      <c r="A9" s="1" t="s">
        <v>86</v>
      </c>
      <c r="B9" s="1" t="s">
        <v>413</v>
      </c>
      <c r="C9" s="18" t="s">
        <v>138</v>
      </c>
      <c r="D9" s="19" t="s">
        <v>40</v>
      </c>
      <c r="E9" s="18" t="s">
        <v>339</v>
      </c>
      <c r="F9" s="18">
        <v>2020</v>
      </c>
      <c r="G9" s="18" t="s">
        <v>180</v>
      </c>
      <c r="H9" s="20" t="s">
        <v>254</v>
      </c>
      <c r="I9" s="21" t="s">
        <v>226</v>
      </c>
      <c r="J9" s="18" t="s">
        <v>292</v>
      </c>
      <c r="K9" s="18" t="s">
        <v>10</v>
      </c>
      <c r="L9" s="18" t="s">
        <v>661</v>
      </c>
      <c r="M9" s="18" t="s">
        <v>306</v>
      </c>
      <c r="N9" s="22" t="s">
        <v>386</v>
      </c>
      <c r="O9" s="18" t="s">
        <v>577</v>
      </c>
      <c r="P9" s="18" t="s">
        <v>600</v>
      </c>
      <c r="Q9" s="18" t="s">
        <v>626</v>
      </c>
      <c r="R9" s="22" t="s">
        <v>217</v>
      </c>
      <c r="S9" s="22" t="s">
        <v>5</v>
      </c>
      <c r="T9" s="39">
        <v>3</v>
      </c>
      <c r="U9" s="2" t="s">
        <v>782</v>
      </c>
      <c r="V9" t="str" cm="1">
        <f t="array" ref="V9">_xlfn.IFS(T9="Not Applicable", "Not Applicable", T9&lt;=3,"Low",T9&gt;=4, "High")</f>
        <v>Low</v>
      </c>
      <c r="W9" t="s">
        <v>5</v>
      </c>
      <c r="X9" t="s">
        <v>790</v>
      </c>
      <c r="Y9" t="s">
        <v>4</v>
      </c>
      <c r="Z9" t="s">
        <v>822</v>
      </c>
      <c r="AA9" t="s">
        <v>7</v>
      </c>
      <c r="AB9" t="s">
        <v>838</v>
      </c>
      <c r="AC9" t="s">
        <v>767</v>
      </c>
      <c r="AE9" s="2" t="s">
        <v>853</v>
      </c>
      <c r="AF9" t="s">
        <v>5</v>
      </c>
      <c r="AG9" t="s">
        <v>510</v>
      </c>
      <c r="AH9" t="s">
        <v>3</v>
      </c>
      <c r="AI9" s="22" t="s">
        <v>5</v>
      </c>
      <c r="AJ9" t="s">
        <v>460</v>
      </c>
      <c r="AK9" s="22" t="s">
        <v>6</v>
      </c>
      <c r="AL9" s="18" t="s">
        <v>5</v>
      </c>
      <c r="AM9" t="s">
        <v>487</v>
      </c>
      <c r="AN9" s="2" t="s">
        <v>3</v>
      </c>
      <c r="AO9" s="18" t="s">
        <v>572</v>
      </c>
      <c r="AQ9"/>
      <c r="AR9"/>
      <c r="AS9"/>
      <c r="AT9"/>
    </row>
    <row r="10" spans="1:46" x14ac:dyDescent="0.2">
      <c r="A10" s="1" t="s">
        <v>87</v>
      </c>
      <c r="B10" s="1" t="s">
        <v>414</v>
      </c>
      <c r="C10" s="18" t="s">
        <v>139</v>
      </c>
      <c r="D10" s="19" t="s">
        <v>41</v>
      </c>
      <c r="E10" s="18" t="s">
        <v>340</v>
      </c>
      <c r="F10" s="18">
        <v>2017</v>
      </c>
      <c r="G10" s="18" t="s">
        <v>179</v>
      </c>
      <c r="H10" s="24" t="s">
        <v>275</v>
      </c>
      <c r="I10" s="21" t="s">
        <v>227</v>
      </c>
      <c r="J10" s="18" t="s">
        <v>292</v>
      </c>
      <c r="K10" s="18" t="s">
        <v>295</v>
      </c>
      <c r="L10" s="18" t="s">
        <v>662</v>
      </c>
      <c r="M10" s="18" t="s">
        <v>310</v>
      </c>
      <c r="N10" s="22" t="s">
        <v>567</v>
      </c>
      <c r="O10" s="18" t="s">
        <v>702</v>
      </c>
      <c r="P10" s="18" t="s">
        <v>601</v>
      </c>
      <c r="Q10" s="18" t="s">
        <v>219</v>
      </c>
      <c r="R10" s="22" t="s">
        <v>217</v>
      </c>
      <c r="S10" s="22" t="s">
        <v>5</v>
      </c>
      <c r="T10" s="39">
        <v>3</v>
      </c>
      <c r="U10" s="2" t="s">
        <v>770</v>
      </c>
      <c r="V10" t="str" cm="1">
        <f t="array" ref="V10">_xlfn.IFS(T10="Not Applicable", "Not Applicable", T10&lt;=3,"Low",T10&gt;=4, "High")</f>
        <v>Low</v>
      </c>
      <c r="W10" t="s">
        <v>5</v>
      </c>
      <c r="X10" t="s">
        <v>791</v>
      </c>
      <c r="Y10" t="s">
        <v>5</v>
      </c>
      <c r="Z10" t="s">
        <v>823</v>
      </c>
      <c r="AA10" t="s">
        <v>4</v>
      </c>
      <c r="AC10" t="s">
        <v>4</v>
      </c>
      <c r="AD10" s="2"/>
      <c r="AE10" s="2"/>
      <c r="AF10" t="s">
        <v>5</v>
      </c>
      <c r="AG10" s="23" t="s">
        <v>511</v>
      </c>
      <c r="AH10" s="23" t="s">
        <v>3</v>
      </c>
      <c r="AI10" s="22" t="s">
        <v>5</v>
      </c>
      <c r="AJ10" s="23" t="s">
        <v>461</v>
      </c>
      <c r="AK10" s="22" t="s">
        <v>3</v>
      </c>
      <c r="AL10" s="18" t="s">
        <v>5</v>
      </c>
      <c r="AM10" s="25" t="s">
        <v>488</v>
      </c>
      <c r="AN10" t="s">
        <v>3</v>
      </c>
      <c r="AO10" s="18" t="s">
        <v>572</v>
      </c>
    </row>
    <row r="11" spans="1:46" x14ac:dyDescent="0.2">
      <c r="A11" s="1" t="s">
        <v>88</v>
      </c>
      <c r="B11" s="1" t="s">
        <v>415</v>
      </c>
      <c r="C11" s="18" t="s">
        <v>140</v>
      </c>
      <c r="D11" s="19" t="s">
        <v>42</v>
      </c>
      <c r="E11" s="18" t="s">
        <v>341</v>
      </c>
      <c r="F11" s="18">
        <v>2022</v>
      </c>
      <c r="G11" s="18" t="s">
        <v>181</v>
      </c>
      <c r="H11" s="24" t="s">
        <v>255</v>
      </c>
      <c r="I11" s="21" t="s">
        <v>228</v>
      </c>
      <c r="J11" s="18" t="s">
        <v>292</v>
      </c>
      <c r="K11" s="18" t="s">
        <v>296</v>
      </c>
      <c r="L11" s="18" t="s">
        <v>663</v>
      </c>
      <c r="M11" s="18" t="s">
        <v>311</v>
      </c>
      <c r="N11" s="22" t="s">
        <v>387</v>
      </c>
      <c r="O11" s="18" t="s">
        <v>219</v>
      </c>
      <c r="P11" s="18" t="s">
        <v>219</v>
      </c>
      <c r="Q11" s="18" t="s">
        <v>699</v>
      </c>
      <c r="R11" s="22" t="s">
        <v>217</v>
      </c>
      <c r="S11" s="22" t="s">
        <v>5</v>
      </c>
      <c r="T11" s="39">
        <v>5</v>
      </c>
      <c r="U11" s="2" t="s">
        <v>778</v>
      </c>
      <c r="V11" t="str" cm="1">
        <f t="array" ref="V11">_xlfn.IFS(T11="Not Applicable", "Not Applicable", T11&lt;=3,"Low",T11&gt;=4, "High")</f>
        <v>High</v>
      </c>
      <c r="W11" t="s">
        <v>5</v>
      </c>
      <c r="X11" t="s">
        <v>792</v>
      </c>
      <c r="Y11" t="s">
        <v>5</v>
      </c>
      <c r="Z11" t="s">
        <v>824</v>
      </c>
      <c r="AA11" t="s">
        <v>4</v>
      </c>
      <c r="AC11" t="s">
        <v>5</v>
      </c>
      <c r="AD11" s="2" t="s">
        <v>699</v>
      </c>
      <c r="AE11" s="2"/>
      <c r="AF11" t="s">
        <v>5</v>
      </c>
      <c r="AG11" s="23" t="s">
        <v>512</v>
      </c>
      <c r="AH11" s="23" t="s">
        <v>3</v>
      </c>
      <c r="AI11" s="22" t="s">
        <v>5</v>
      </c>
      <c r="AJ11" s="23" t="s">
        <v>462</v>
      </c>
      <c r="AK11" s="22" t="s">
        <v>3</v>
      </c>
      <c r="AL11" s="18" t="s">
        <v>5</v>
      </c>
      <c r="AM11" s="25" t="s">
        <v>489</v>
      </c>
      <c r="AN11" t="s">
        <v>3</v>
      </c>
      <c r="AO11" s="18" t="s">
        <v>570</v>
      </c>
    </row>
    <row r="12" spans="1:46" x14ac:dyDescent="0.2">
      <c r="A12" s="1" t="s">
        <v>89</v>
      </c>
      <c r="B12" s="1" t="s">
        <v>416</v>
      </c>
      <c r="C12" s="18" t="s">
        <v>141</v>
      </c>
      <c r="D12" s="19" t="s">
        <v>43</v>
      </c>
      <c r="E12" s="18" t="s">
        <v>342</v>
      </c>
      <c r="F12" s="18">
        <v>2023</v>
      </c>
      <c r="G12" s="18" t="s">
        <v>182</v>
      </c>
      <c r="H12" s="26" t="s">
        <v>256</v>
      </c>
      <c r="I12" s="21" t="s">
        <v>229</v>
      </c>
      <c r="J12" s="18" t="s">
        <v>291</v>
      </c>
      <c r="K12" s="18" t="s">
        <v>10</v>
      </c>
      <c r="L12" s="18" t="s">
        <v>664</v>
      </c>
      <c r="M12" s="18" t="s">
        <v>305</v>
      </c>
      <c r="N12" s="22" t="s">
        <v>388</v>
      </c>
      <c r="O12" t="s">
        <v>701</v>
      </c>
      <c r="P12" s="18" t="s">
        <v>602</v>
      </c>
      <c r="Q12" s="18" t="s">
        <v>627</v>
      </c>
      <c r="R12" s="22" t="s">
        <v>217</v>
      </c>
      <c r="S12" s="22" t="s">
        <v>5</v>
      </c>
      <c r="T12" s="39">
        <v>4</v>
      </c>
      <c r="U12" s="2" t="s">
        <v>706</v>
      </c>
      <c r="V12" t="str" cm="1">
        <f t="array" ref="V12">_xlfn.IFS(T12="Not Applicable", "Not Applicable", T12&lt;=3,"Low",T12&gt;=4, "High")</f>
        <v>High</v>
      </c>
      <c r="W12" t="s">
        <v>5</v>
      </c>
      <c r="X12" t="s">
        <v>855</v>
      </c>
      <c r="Y12" t="s">
        <v>5</v>
      </c>
      <c r="Z12" t="s">
        <v>825</v>
      </c>
      <c r="AA12" t="s">
        <v>5</v>
      </c>
      <c r="AB12" t="s">
        <v>839</v>
      </c>
      <c r="AC12" t="s">
        <v>4</v>
      </c>
      <c r="AD12" s="2"/>
      <c r="AE12" s="2" t="s">
        <v>863</v>
      </c>
      <c r="AF12" t="s">
        <v>5</v>
      </c>
      <c r="AG12" t="s">
        <v>513</v>
      </c>
      <c r="AH12" t="s">
        <v>3</v>
      </c>
      <c r="AI12" s="22" t="s">
        <v>5</v>
      </c>
      <c r="AJ12" s="23" t="s">
        <v>463</v>
      </c>
      <c r="AK12" s="22" t="s">
        <v>3</v>
      </c>
      <c r="AL12" s="18" t="s">
        <v>5</v>
      </c>
      <c r="AM12" s="23" t="s">
        <v>490</v>
      </c>
      <c r="AN12" t="s">
        <v>3</v>
      </c>
      <c r="AO12" s="18" t="s">
        <v>572</v>
      </c>
    </row>
    <row r="13" spans="1:46" x14ac:dyDescent="0.2">
      <c r="A13" s="1" t="s">
        <v>90</v>
      </c>
      <c r="B13" s="1" t="s">
        <v>417</v>
      </c>
      <c r="C13" s="18" t="s">
        <v>142</v>
      </c>
      <c r="D13" s="19" t="s">
        <v>44</v>
      </c>
      <c r="E13" s="18" t="s">
        <v>343</v>
      </c>
      <c r="F13" s="18">
        <v>2016</v>
      </c>
      <c r="G13" s="18" t="s">
        <v>183</v>
      </c>
      <c r="H13" s="26" t="s">
        <v>276</v>
      </c>
      <c r="I13" s="21" t="s">
        <v>226</v>
      </c>
      <c r="J13" s="18" t="s">
        <v>292</v>
      </c>
      <c r="K13" s="18" t="s">
        <v>297</v>
      </c>
      <c r="L13" s="18" t="s">
        <v>665</v>
      </c>
      <c r="M13" s="18" t="s">
        <v>312</v>
      </c>
      <c r="N13" s="22" t="s">
        <v>389</v>
      </c>
      <c r="O13" s="18" t="s">
        <v>578</v>
      </c>
      <c r="P13" s="18" t="s">
        <v>603</v>
      </c>
      <c r="Q13" s="18" t="s">
        <v>628</v>
      </c>
      <c r="R13" s="22" t="s">
        <v>217</v>
      </c>
      <c r="S13" s="22" t="s">
        <v>5</v>
      </c>
      <c r="T13" s="39">
        <v>3</v>
      </c>
      <c r="U13" s="2" t="s">
        <v>771</v>
      </c>
      <c r="V13" t="str" cm="1">
        <f t="array" ref="V13">_xlfn.IFS(T13="Not Applicable", "Not Applicable", T13&lt;=3,"Low",T13&gt;=4, "High")</f>
        <v>Low</v>
      </c>
      <c r="W13" t="s">
        <v>5</v>
      </c>
      <c r="X13" t="s">
        <v>793</v>
      </c>
      <c r="Y13" t="s">
        <v>5</v>
      </c>
      <c r="Z13" t="s">
        <v>826</v>
      </c>
      <c r="AA13" t="s">
        <v>5</v>
      </c>
      <c r="AB13" t="s">
        <v>840</v>
      </c>
      <c r="AC13" t="s">
        <v>4</v>
      </c>
      <c r="AD13" s="2"/>
      <c r="AE13" s="2"/>
      <c r="AF13" t="s">
        <v>5</v>
      </c>
      <c r="AG13" t="s">
        <v>514</v>
      </c>
      <c r="AH13" t="s">
        <v>3</v>
      </c>
      <c r="AI13" s="22" t="s">
        <v>5</v>
      </c>
      <c r="AJ13" s="23" t="s">
        <v>464</v>
      </c>
      <c r="AK13" s="22" t="s">
        <v>3</v>
      </c>
      <c r="AL13" s="18" t="s">
        <v>5</v>
      </c>
      <c r="AM13" s="23" t="s">
        <v>491</v>
      </c>
      <c r="AN13" t="s">
        <v>3</v>
      </c>
      <c r="AO13" s="18" t="s">
        <v>570</v>
      </c>
    </row>
    <row r="14" spans="1:46" ht="17" customHeight="1" x14ac:dyDescent="0.2">
      <c r="A14" s="1" t="s">
        <v>91</v>
      </c>
      <c r="B14" s="1" t="s">
        <v>418</v>
      </c>
      <c r="C14" s="18" t="s">
        <v>143</v>
      </c>
      <c r="D14" s="19" t="s">
        <v>45</v>
      </c>
      <c r="E14" s="18" t="s">
        <v>344</v>
      </c>
      <c r="F14" s="18">
        <v>2018</v>
      </c>
      <c r="G14" s="18" t="s">
        <v>184</v>
      </c>
      <c r="H14" s="26" t="s">
        <v>257</v>
      </c>
      <c r="I14" s="21" t="s">
        <v>224</v>
      </c>
      <c r="J14" s="18" t="s">
        <v>292</v>
      </c>
      <c r="K14" s="18" t="s">
        <v>405</v>
      </c>
      <c r="L14" s="18" t="s">
        <v>666</v>
      </c>
      <c r="M14" s="18" t="s">
        <v>313</v>
      </c>
      <c r="N14" s="22" t="s">
        <v>568</v>
      </c>
      <c r="O14" s="18" t="s">
        <v>579</v>
      </c>
      <c r="P14" s="18" t="s">
        <v>604</v>
      </c>
      <c r="Q14" s="18" t="s">
        <v>645</v>
      </c>
      <c r="R14" s="22" t="s">
        <v>217</v>
      </c>
      <c r="S14" s="22" t="s">
        <v>5</v>
      </c>
      <c r="T14" s="39">
        <v>3</v>
      </c>
      <c r="U14" s="2" t="s">
        <v>764</v>
      </c>
      <c r="V14" t="str" cm="1">
        <f t="array" ref="V14">_xlfn.IFS(T14="Not Applicable", "Not Applicable", T14&lt;=3,"Low",T14&gt;=4, "High")</f>
        <v>Low</v>
      </c>
      <c r="W14" t="s">
        <v>4</v>
      </c>
      <c r="X14" t="s">
        <v>794</v>
      </c>
      <c r="Y14" t="s">
        <v>4</v>
      </c>
      <c r="AA14" t="s">
        <v>4</v>
      </c>
      <c r="AC14" t="s">
        <v>4</v>
      </c>
      <c r="AD14" s="2"/>
      <c r="AE14" s="2"/>
      <c r="AF14" t="s">
        <v>5</v>
      </c>
      <c r="AG14" t="s">
        <v>515</v>
      </c>
      <c r="AH14" t="s">
        <v>6</v>
      </c>
      <c r="AI14" s="22" t="s">
        <v>5</v>
      </c>
      <c r="AJ14" s="23" t="s">
        <v>465</v>
      </c>
      <c r="AK14" s="22" t="s">
        <v>3</v>
      </c>
      <c r="AL14" s="18" t="s">
        <v>4</v>
      </c>
      <c r="AM14" s="23" t="s">
        <v>248</v>
      </c>
      <c r="AN14" t="s">
        <v>22</v>
      </c>
      <c r="AO14" s="18" t="s">
        <v>572</v>
      </c>
    </row>
    <row r="15" spans="1:46" x14ac:dyDescent="0.2">
      <c r="A15" s="1" t="s">
        <v>92</v>
      </c>
      <c r="B15" s="1" t="s">
        <v>419</v>
      </c>
      <c r="C15" s="18" t="s">
        <v>144</v>
      </c>
      <c r="D15" s="19" t="s">
        <v>46</v>
      </c>
      <c r="E15" s="18" t="s">
        <v>345</v>
      </c>
      <c r="F15" s="18">
        <v>2013</v>
      </c>
      <c r="G15" s="18" t="s">
        <v>185</v>
      </c>
      <c r="H15" s="27" t="s">
        <v>279</v>
      </c>
      <c r="I15" s="21" t="s">
        <v>221</v>
      </c>
      <c r="J15" s="18" t="s">
        <v>291</v>
      </c>
      <c r="K15" s="18" t="s">
        <v>295</v>
      </c>
      <c r="L15" s="18" t="s">
        <v>667</v>
      </c>
      <c r="M15" s="18" t="s">
        <v>309</v>
      </c>
      <c r="N15" s="22" t="s">
        <v>219</v>
      </c>
      <c r="O15" s="18" t="s">
        <v>219</v>
      </c>
      <c r="P15" s="18" t="s">
        <v>605</v>
      </c>
      <c r="Q15" s="18" t="s">
        <v>629</v>
      </c>
      <c r="R15" s="22" t="s">
        <v>7</v>
      </c>
      <c r="S15" s="22" t="s">
        <v>4</v>
      </c>
      <c r="T15" s="39" t="s">
        <v>248</v>
      </c>
      <c r="U15" s="2" t="s">
        <v>248</v>
      </c>
      <c r="V15" t="str" cm="1">
        <f t="array" ref="V15">_xlfn.IFS(T15="Not Applicable", "Not Applicable", T15&lt;=3,"Low",T15&gt;=4, "High")</f>
        <v>Not Applicable</v>
      </c>
      <c r="W15" t="s">
        <v>4</v>
      </c>
      <c r="X15" t="s">
        <v>795</v>
      </c>
      <c r="Y15" t="s">
        <v>4</v>
      </c>
      <c r="AA15" t="s">
        <v>4</v>
      </c>
      <c r="AC15" t="s">
        <v>4</v>
      </c>
      <c r="AD15" s="2"/>
      <c r="AE15" s="2"/>
      <c r="AF15" t="s">
        <v>5</v>
      </c>
      <c r="AG15" t="s">
        <v>516</v>
      </c>
      <c r="AH15" t="s">
        <v>3</v>
      </c>
      <c r="AI15" s="22" t="s">
        <v>4</v>
      </c>
      <c r="AJ15" s="18" t="s">
        <v>248</v>
      </c>
      <c r="AK15" s="22" t="s">
        <v>248</v>
      </c>
      <c r="AL15" s="18" t="s">
        <v>4</v>
      </c>
      <c r="AM15" s="18" t="s">
        <v>248</v>
      </c>
      <c r="AN15" t="s">
        <v>248</v>
      </c>
      <c r="AO15" s="18" t="s">
        <v>571</v>
      </c>
    </row>
    <row r="16" spans="1:46" s="2" customFormat="1" x14ac:dyDescent="0.2">
      <c r="A16" s="1" t="s">
        <v>93</v>
      </c>
      <c r="B16" s="1" t="s">
        <v>420</v>
      </c>
      <c r="C16" s="2" t="s">
        <v>555</v>
      </c>
      <c r="D16" s="28" t="s">
        <v>47</v>
      </c>
      <c r="E16" s="2" t="s">
        <v>556</v>
      </c>
      <c r="F16" s="2">
        <v>2023</v>
      </c>
      <c r="G16" s="2" t="s">
        <v>186</v>
      </c>
      <c r="H16" s="20" t="s">
        <v>258</v>
      </c>
      <c r="I16" s="29" t="s">
        <v>230</v>
      </c>
      <c r="J16" s="2" t="s">
        <v>292</v>
      </c>
      <c r="K16" s="2" t="s">
        <v>405</v>
      </c>
      <c r="L16" s="2" t="s">
        <v>760</v>
      </c>
      <c r="M16" s="2" t="s">
        <v>314</v>
      </c>
      <c r="N16" s="30" t="s">
        <v>390</v>
      </c>
      <c r="O16" s="2" t="s">
        <v>580</v>
      </c>
      <c r="P16" s="2" t="s">
        <v>606</v>
      </c>
      <c r="Q16" s="2" t="s">
        <v>647</v>
      </c>
      <c r="R16" s="30" t="s">
        <v>217</v>
      </c>
      <c r="S16" s="30" t="s">
        <v>5</v>
      </c>
      <c r="T16" s="13">
        <v>4</v>
      </c>
      <c r="U16" s="2" t="s">
        <v>761</v>
      </c>
      <c r="V16" t="str" cm="1">
        <f t="array" ref="V16">_xlfn.IFS(T16="Not Applicable", "Not Applicable", T16&lt;=3,"Low",T16&gt;=4, "High")</f>
        <v>High</v>
      </c>
      <c r="W16" s="2" t="s">
        <v>5</v>
      </c>
      <c r="X16" s="2" t="s">
        <v>796</v>
      </c>
      <c r="Y16" s="2" t="s">
        <v>5</v>
      </c>
      <c r="Z16" s="2" t="s">
        <v>827</v>
      </c>
      <c r="AA16" s="2" t="s">
        <v>4</v>
      </c>
      <c r="AC16" s="2" t="s">
        <v>5</v>
      </c>
      <c r="AD16" s="2" t="s">
        <v>864</v>
      </c>
      <c r="AF16" s="2" t="s">
        <v>5</v>
      </c>
      <c r="AG16" s="31" t="s">
        <v>517</v>
      </c>
      <c r="AH16" s="2" t="s">
        <v>3</v>
      </c>
      <c r="AI16" s="30" t="s">
        <v>5</v>
      </c>
      <c r="AJ16" s="31" t="s">
        <v>466</v>
      </c>
      <c r="AK16" s="30" t="s">
        <v>3</v>
      </c>
      <c r="AL16" s="2" t="s">
        <v>5</v>
      </c>
      <c r="AM16" s="31" t="s">
        <v>492</v>
      </c>
      <c r="AN16" s="2" t="s">
        <v>505</v>
      </c>
      <c r="AO16" s="2" t="s">
        <v>572</v>
      </c>
    </row>
    <row r="17" spans="1:41" x14ac:dyDescent="0.2">
      <c r="A17" s="1" t="s">
        <v>94</v>
      </c>
      <c r="B17" s="1" t="s">
        <v>421</v>
      </c>
      <c r="C17" s="18" t="s">
        <v>145</v>
      </c>
      <c r="D17" s="19" t="s">
        <v>48</v>
      </c>
      <c r="E17" s="18" t="s">
        <v>346</v>
      </c>
      <c r="F17" s="18">
        <v>2021</v>
      </c>
      <c r="G17" s="18" t="s">
        <v>187</v>
      </c>
      <c r="H17" s="3" t="s">
        <v>279</v>
      </c>
      <c r="I17" s="21" t="s">
        <v>228</v>
      </c>
      <c r="J17" s="18" t="s">
        <v>292</v>
      </c>
      <c r="K17" s="18" t="s">
        <v>24</v>
      </c>
      <c r="L17" s="18" t="s">
        <v>683</v>
      </c>
      <c r="M17" s="18" t="s">
        <v>315</v>
      </c>
      <c r="N17" s="22" t="s">
        <v>569</v>
      </c>
      <c r="O17" s="18" t="s">
        <v>655</v>
      </c>
      <c r="P17" s="18" t="s">
        <v>206</v>
      </c>
      <c r="Q17" s="18" t="s">
        <v>646</v>
      </c>
      <c r="R17" s="22" t="s">
        <v>217</v>
      </c>
      <c r="S17" s="22" t="s">
        <v>5</v>
      </c>
      <c r="T17" s="39">
        <v>4</v>
      </c>
      <c r="U17" s="2" t="s">
        <v>658</v>
      </c>
      <c r="V17" t="str" cm="1">
        <f t="array" ref="V17">_xlfn.IFS(T17="Not Applicable", "Not Applicable", T17&lt;=3,"Low",T17&gt;=4, "High")</f>
        <v>High</v>
      </c>
      <c r="W17" t="s">
        <v>5</v>
      </c>
      <c r="X17" t="s">
        <v>797</v>
      </c>
      <c r="Y17" t="s">
        <v>5</v>
      </c>
      <c r="Z17" t="s">
        <v>856</v>
      </c>
      <c r="AA17" t="s">
        <v>4</v>
      </c>
      <c r="AB17" t="s">
        <v>841</v>
      </c>
      <c r="AC17" t="s">
        <v>5</v>
      </c>
      <c r="AD17" s="2" t="s">
        <v>868</v>
      </c>
      <c r="AE17" s="2" t="s">
        <v>877</v>
      </c>
      <c r="AF17" t="s">
        <v>5</v>
      </c>
      <c r="AG17" s="18" t="s">
        <v>518</v>
      </c>
      <c r="AH17" t="s">
        <v>3</v>
      </c>
      <c r="AI17" s="22" t="s">
        <v>5</v>
      </c>
      <c r="AJ17" s="23" t="s">
        <v>467</v>
      </c>
      <c r="AK17" s="22" t="s">
        <v>3</v>
      </c>
      <c r="AL17" s="18" t="s">
        <v>5</v>
      </c>
      <c r="AM17" s="18" t="s">
        <v>486</v>
      </c>
      <c r="AN17" t="s">
        <v>3</v>
      </c>
      <c r="AO17" s="18" t="s">
        <v>572</v>
      </c>
    </row>
    <row r="18" spans="1:41" ht="16" customHeight="1" x14ac:dyDescent="0.2">
      <c r="A18" s="1" t="s">
        <v>95</v>
      </c>
      <c r="B18" s="1" t="s">
        <v>422</v>
      </c>
      <c r="C18" s="18" t="s">
        <v>146</v>
      </c>
      <c r="D18" s="19" t="s">
        <v>49</v>
      </c>
      <c r="E18" s="18" t="s">
        <v>347</v>
      </c>
      <c r="F18" s="18">
        <v>2020</v>
      </c>
      <c r="G18" s="18" t="s">
        <v>188</v>
      </c>
      <c r="H18" s="26" t="s">
        <v>277</v>
      </c>
      <c r="I18" s="21" t="s">
        <v>235</v>
      </c>
      <c r="J18" s="18" t="s">
        <v>293</v>
      </c>
      <c r="K18" s="18" t="s">
        <v>295</v>
      </c>
      <c r="L18" s="18" t="s">
        <v>668</v>
      </c>
      <c r="M18" s="18" t="s">
        <v>316</v>
      </c>
      <c r="N18" s="22" t="s">
        <v>391</v>
      </c>
      <c r="O18" s="18" t="s">
        <v>581</v>
      </c>
      <c r="P18" s="18" t="s">
        <v>607</v>
      </c>
      <c r="Q18" s="18" t="s">
        <v>630</v>
      </c>
      <c r="R18" s="22" t="s">
        <v>217</v>
      </c>
      <c r="S18" s="22" t="s">
        <v>7</v>
      </c>
      <c r="T18" s="39" t="s">
        <v>248</v>
      </c>
      <c r="U18" s="2" t="s">
        <v>248</v>
      </c>
      <c r="V18" t="str" cm="1">
        <f t="array" ref="V18">_xlfn.IFS(T18="Not Applicable", "Not Applicable", T18&lt;=3,"Low",T18&gt;=4, "High")</f>
        <v>Not Applicable</v>
      </c>
      <c r="W18" t="s">
        <v>7</v>
      </c>
      <c r="X18" t="s">
        <v>801</v>
      </c>
      <c r="Y18" t="s">
        <v>4</v>
      </c>
      <c r="AA18" t="s">
        <v>4</v>
      </c>
      <c r="AB18" t="s">
        <v>842</v>
      </c>
      <c r="AC18" t="s">
        <v>7</v>
      </c>
      <c r="AD18" s="2"/>
      <c r="AE18" s="37" t="s">
        <v>865</v>
      </c>
      <c r="AF18" t="s">
        <v>5</v>
      </c>
      <c r="AG18" s="18" t="s">
        <v>519</v>
      </c>
      <c r="AH18" t="s">
        <v>3</v>
      </c>
      <c r="AI18" s="22" t="s">
        <v>5</v>
      </c>
      <c r="AJ18" s="23" t="s">
        <v>468</v>
      </c>
      <c r="AK18" s="22" t="s">
        <v>3</v>
      </c>
      <c r="AL18" s="18" t="s">
        <v>4</v>
      </c>
      <c r="AM18" s="18" t="s">
        <v>248</v>
      </c>
      <c r="AN18" t="s">
        <v>248</v>
      </c>
      <c r="AO18" s="18" t="s">
        <v>571</v>
      </c>
    </row>
    <row r="19" spans="1:41" s="2" customFormat="1" ht="16" customHeight="1" x14ac:dyDescent="0.2">
      <c r="A19" s="1" t="s">
        <v>96</v>
      </c>
      <c r="B19" s="1" t="s">
        <v>423</v>
      </c>
      <c r="C19" s="2" t="s">
        <v>147</v>
      </c>
      <c r="D19" s="28" t="s">
        <v>50</v>
      </c>
      <c r="E19" s="2" t="s">
        <v>348</v>
      </c>
      <c r="F19" s="2">
        <v>2005</v>
      </c>
      <c r="G19" s="2" t="s">
        <v>189</v>
      </c>
      <c r="H19" s="26" t="s">
        <v>278</v>
      </c>
      <c r="I19" s="29" t="s">
        <v>231</v>
      </c>
      <c r="J19" s="2" t="s">
        <v>293</v>
      </c>
      <c r="K19" s="2" t="s">
        <v>298</v>
      </c>
      <c r="L19" s="2" t="s">
        <v>669</v>
      </c>
      <c r="M19" s="2" t="s">
        <v>311</v>
      </c>
      <c r="N19" s="30" t="s">
        <v>392</v>
      </c>
      <c r="O19" s="2" t="s">
        <v>741</v>
      </c>
      <c r="P19" s="2" t="s">
        <v>742</v>
      </c>
      <c r="Q19" s="2" t="s">
        <v>648</v>
      </c>
      <c r="R19" s="30" t="s">
        <v>217</v>
      </c>
      <c r="S19" s="30" t="s">
        <v>5</v>
      </c>
      <c r="T19" s="13">
        <v>3</v>
      </c>
      <c r="U19" s="2" t="s">
        <v>745</v>
      </c>
      <c r="V19" t="str" cm="1">
        <f t="array" ref="V19">_xlfn.IFS(T19="Not Applicable", "Not Applicable", T19&lt;=3,"Low",T19&gt;=4, "High")</f>
        <v>Low</v>
      </c>
      <c r="W19" s="2" t="s">
        <v>5</v>
      </c>
      <c r="X19" s="2" t="s">
        <v>802</v>
      </c>
      <c r="Y19" s="2" t="s">
        <v>4</v>
      </c>
      <c r="AA19" s="2" t="s">
        <v>4</v>
      </c>
      <c r="AC19" s="2" t="s">
        <v>4</v>
      </c>
      <c r="AF19" s="2" t="s">
        <v>5</v>
      </c>
      <c r="AG19" s="2" t="s">
        <v>520</v>
      </c>
      <c r="AH19" s="2" t="s">
        <v>3</v>
      </c>
      <c r="AI19" s="30" t="s">
        <v>4</v>
      </c>
      <c r="AJ19" s="2" t="s">
        <v>248</v>
      </c>
      <c r="AK19" s="30" t="s">
        <v>248</v>
      </c>
      <c r="AL19" s="2" t="s">
        <v>5</v>
      </c>
      <c r="AM19" s="31" t="s">
        <v>487</v>
      </c>
      <c r="AN19" s="2" t="s">
        <v>3</v>
      </c>
      <c r="AO19" s="2" t="s">
        <v>572</v>
      </c>
    </row>
    <row r="20" spans="1:41" x14ac:dyDescent="0.2">
      <c r="A20" s="1" t="s">
        <v>97</v>
      </c>
      <c r="B20" s="1" t="s">
        <v>424</v>
      </c>
      <c r="C20" s="18" t="s">
        <v>148</v>
      </c>
      <c r="D20" s="19" t="s">
        <v>51</v>
      </c>
      <c r="E20" s="18" t="s">
        <v>349</v>
      </c>
      <c r="F20" s="18">
        <v>2023</v>
      </c>
      <c r="G20" s="18" t="s">
        <v>190</v>
      </c>
      <c r="H20" s="20" t="s">
        <v>259</v>
      </c>
      <c r="I20" s="21" t="s">
        <v>232</v>
      </c>
      <c r="J20" s="18" t="s">
        <v>293</v>
      </c>
      <c r="K20" s="18" t="s">
        <v>295</v>
      </c>
      <c r="L20" s="18" t="s">
        <v>726</v>
      </c>
      <c r="M20" s="18" t="s">
        <v>309</v>
      </c>
      <c r="N20" s="22" t="s">
        <v>385</v>
      </c>
      <c r="O20" s="18" t="s">
        <v>725</v>
      </c>
      <c r="P20" s="18"/>
      <c r="Q20" s="18" t="s">
        <v>219</v>
      </c>
      <c r="R20" s="22" t="s">
        <v>217</v>
      </c>
      <c r="S20" s="22" t="s">
        <v>5</v>
      </c>
      <c r="T20" s="39">
        <v>3</v>
      </c>
      <c r="U20" s="2" t="s">
        <v>727</v>
      </c>
      <c r="V20" t="str" cm="1">
        <f t="array" ref="V20">_xlfn.IFS(T20="Not Applicable", "Not Applicable", T20&lt;=3,"Low",T20&gt;=4, "High")</f>
        <v>Low</v>
      </c>
      <c r="W20" t="s">
        <v>5</v>
      </c>
      <c r="X20" t="s">
        <v>803</v>
      </c>
      <c r="Y20" t="s">
        <v>4</v>
      </c>
      <c r="AA20" t="s">
        <v>4</v>
      </c>
      <c r="AC20" t="s">
        <v>4</v>
      </c>
      <c r="AD20" s="2"/>
      <c r="AE20" s="2"/>
      <c r="AF20" t="s">
        <v>5</v>
      </c>
      <c r="AG20" t="s">
        <v>521</v>
      </c>
      <c r="AH20" t="s">
        <v>3</v>
      </c>
      <c r="AI20" s="22" t="s">
        <v>5</v>
      </c>
      <c r="AJ20" t="s">
        <v>469</v>
      </c>
      <c r="AK20" s="22" t="s">
        <v>3</v>
      </c>
      <c r="AL20" s="18" t="s">
        <v>5</v>
      </c>
      <c r="AM20" s="23" t="s">
        <v>493</v>
      </c>
      <c r="AN20" t="s">
        <v>3</v>
      </c>
      <c r="AO20" s="18" t="s">
        <v>571</v>
      </c>
    </row>
    <row r="21" spans="1:41" x14ac:dyDescent="0.2">
      <c r="A21" s="1" t="s">
        <v>98</v>
      </c>
      <c r="B21" s="1" t="s">
        <v>425</v>
      </c>
      <c r="C21" s="18" t="s">
        <v>149</v>
      </c>
      <c r="D21" s="19" t="s">
        <v>52</v>
      </c>
      <c r="E21" s="18" t="s">
        <v>350</v>
      </c>
      <c r="F21" s="18">
        <v>2023</v>
      </c>
      <c r="G21" s="18" t="s">
        <v>191</v>
      </c>
      <c r="H21" s="33" t="s">
        <v>279</v>
      </c>
      <c r="I21" s="21" t="s">
        <v>233</v>
      </c>
      <c r="J21" s="18" t="s">
        <v>293</v>
      </c>
      <c r="K21" s="18" t="s">
        <v>295</v>
      </c>
      <c r="L21" s="18" t="s">
        <v>709</v>
      </c>
      <c r="M21" s="18" t="s">
        <v>316</v>
      </c>
      <c r="N21" s="22" t="s">
        <v>385</v>
      </c>
      <c r="O21" s="18" t="s">
        <v>582</v>
      </c>
      <c r="P21" s="18" t="s">
        <v>608</v>
      </c>
      <c r="Q21" s="18" t="s">
        <v>631</v>
      </c>
      <c r="R21" s="22" t="s">
        <v>217</v>
      </c>
      <c r="S21" s="22" t="s">
        <v>5</v>
      </c>
      <c r="T21" s="39">
        <v>4</v>
      </c>
      <c r="U21" s="2" t="s">
        <v>772</v>
      </c>
      <c r="V21" t="str" cm="1">
        <f t="array" ref="V21">_xlfn.IFS(T21="Not Applicable", "Not Applicable", T21&lt;=3,"Low",T21&gt;=4, "High")</f>
        <v>High</v>
      </c>
      <c r="W21" t="s">
        <v>5</v>
      </c>
      <c r="X21" t="s">
        <v>804</v>
      </c>
      <c r="Y21" t="s">
        <v>4</v>
      </c>
      <c r="AA21" t="s">
        <v>5</v>
      </c>
      <c r="AB21" t="s">
        <v>843</v>
      </c>
      <c r="AC21" t="s">
        <v>4</v>
      </c>
      <c r="AD21" s="2"/>
      <c r="AE21" s="2"/>
      <c r="AF21" t="s">
        <v>5</v>
      </c>
      <c r="AG21" t="s">
        <v>522</v>
      </c>
      <c r="AH21" t="s">
        <v>3</v>
      </c>
      <c r="AI21" s="22" t="s">
        <v>5</v>
      </c>
      <c r="AJ21" t="s">
        <v>470</v>
      </c>
      <c r="AK21" s="22" t="s">
        <v>3</v>
      </c>
      <c r="AL21" s="18" t="s">
        <v>4</v>
      </c>
      <c r="AM21" t="s">
        <v>248</v>
      </c>
      <c r="AN21" t="s">
        <v>22</v>
      </c>
      <c r="AO21" s="18" t="s">
        <v>570</v>
      </c>
    </row>
    <row r="22" spans="1:41" x14ac:dyDescent="0.2">
      <c r="A22" s="1" t="s">
        <v>99</v>
      </c>
      <c r="B22" s="1" t="s">
        <v>426</v>
      </c>
      <c r="C22" s="18" t="s">
        <v>150</v>
      </c>
      <c r="D22" s="19" t="s">
        <v>53</v>
      </c>
      <c r="E22" s="18" t="s">
        <v>351</v>
      </c>
      <c r="F22" s="18">
        <v>2018</v>
      </c>
      <c r="G22" s="18" t="s">
        <v>192</v>
      </c>
      <c r="H22" s="20" t="s">
        <v>260</v>
      </c>
      <c r="I22" s="21" t="s">
        <v>234</v>
      </c>
      <c r="J22" s="18" t="s">
        <v>293</v>
      </c>
      <c r="K22" s="18" t="s">
        <v>405</v>
      </c>
      <c r="L22" s="18" t="s">
        <v>670</v>
      </c>
      <c r="M22" s="18" t="s">
        <v>317</v>
      </c>
      <c r="N22" s="22" t="s">
        <v>565</v>
      </c>
      <c r="O22" s="18" t="s">
        <v>656</v>
      </c>
      <c r="P22" s="18" t="s">
        <v>609</v>
      </c>
      <c r="Q22" s="18" t="s">
        <v>632</v>
      </c>
      <c r="R22" s="22" t="s">
        <v>217</v>
      </c>
      <c r="S22" s="22" t="s">
        <v>5</v>
      </c>
      <c r="T22" s="39">
        <v>3</v>
      </c>
      <c r="U22" s="2" t="s">
        <v>774</v>
      </c>
      <c r="V22" t="str" cm="1">
        <f t="array" ref="V22">_xlfn.IFS(T22="Not Applicable", "Not Applicable", T22&lt;=3,"Low",T22&gt;=4, "High")</f>
        <v>Low</v>
      </c>
      <c r="W22" t="s">
        <v>4</v>
      </c>
      <c r="X22" t="s">
        <v>805</v>
      </c>
      <c r="Y22" t="s">
        <v>5</v>
      </c>
      <c r="Z22" t="s">
        <v>828</v>
      </c>
      <c r="AA22" t="s">
        <v>5</v>
      </c>
      <c r="AB22" t="s">
        <v>844</v>
      </c>
      <c r="AC22" t="s">
        <v>4</v>
      </c>
      <c r="AD22" s="2"/>
      <c r="AE22" s="2"/>
      <c r="AF22" t="s">
        <v>5</v>
      </c>
      <c r="AG22" t="s">
        <v>523</v>
      </c>
      <c r="AH22" t="s">
        <v>3</v>
      </c>
      <c r="AI22" s="22" t="s">
        <v>5</v>
      </c>
      <c r="AJ22" t="s">
        <v>471</v>
      </c>
      <c r="AK22" s="22" t="s">
        <v>3</v>
      </c>
      <c r="AL22" s="18" t="s">
        <v>5</v>
      </c>
      <c r="AM22" s="25" t="s">
        <v>494</v>
      </c>
      <c r="AN22" t="s">
        <v>3</v>
      </c>
      <c r="AO22" s="18" t="s">
        <v>570</v>
      </c>
    </row>
    <row r="23" spans="1:41" x14ac:dyDescent="0.2">
      <c r="A23" s="1" t="s">
        <v>100</v>
      </c>
      <c r="B23" s="1" t="s">
        <v>427</v>
      </c>
      <c r="C23" s="18" t="s">
        <v>151</v>
      </c>
      <c r="D23" s="19" t="s">
        <v>54</v>
      </c>
      <c r="E23" s="18" t="s">
        <v>352</v>
      </c>
      <c r="F23" s="18">
        <v>2021</v>
      </c>
      <c r="G23" s="18" t="s">
        <v>193</v>
      </c>
      <c r="H23" s="34" t="s">
        <v>279</v>
      </c>
      <c r="I23" s="21" t="s">
        <v>235</v>
      </c>
      <c r="J23" s="18" t="s">
        <v>293</v>
      </c>
      <c r="K23" s="18" t="s">
        <v>298</v>
      </c>
      <c r="L23" s="18" t="s">
        <v>719</v>
      </c>
      <c r="M23" s="18" t="s">
        <v>311</v>
      </c>
      <c r="N23" s="22" t="s">
        <v>387</v>
      </c>
      <c r="O23" s="18" t="s">
        <v>721</v>
      </c>
      <c r="P23" s="18"/>
      <c r="Q23" s="18"/>
      <c r="R23" s="22" t="s">
        <v>217</v>
      </c>
      <c r="S23" s="22" t="s">
        <v>5</v>
      </c>
      <c r="T23" s="39">
        <v>5</v>
      </c>
      <c r="U23" s="2" t="s">
        <v>722</v>
      </c>
      <c r="V23" t="str" cm="1">
        <f t="array" ref="V23">_xlfn.IFS(T23="Not Applicable", "Not Applicable", T23&lt;=3,"Low",T23&gt;=4, "High")</f>
        <v>High</v>
      </c>
      <c r="W23" t="s">
        <v>5</v>
      </c>
      <c r="X23" t="s">
        <v>806</v>
      </c>
      <c r="Y23" t="s">
        <v>5</v>
      </c>
      <c r="Z23" t="s">
        <v>829</v>
      </c>
      <c r="AA23" t="s">
        <v>5</v>
      </c>
      <c r="AB23" t="s">
        <v>845</v>
      </c>
      <c r="AC23" t="s">
        <v>4</v>
      </c>
      <c r="AD23" s="2"/>
      <c r="AE23" s="2" t="s">
        <v>866</v>
      </c>
      <c r="AF23" t="s">
        <v>5</v>
      </c>
      <c r="AG23" t="s">
        <v>524</v>
      </c>
      <c r="AH23" t="s">
        <v>7</v>
      </c>
      <c r="AI23" s="22" t="s">
        <v>5</v>
      </c>
      <c r="AJ23" t="s">
        <v>472</v>
      </c>
      <c r="AK23" s="22" t="s">
        <v>456</v>
      </c>
      <c r="AL23" s="18" t="s">
        <v>5</v>
      </c>
      <c r="AM23" s="25" t="s">
        <v>495</v>
      </c>
      <c r="AN23" t="s">
        <v>505</v>
      </c>
      <c r="AO23" s="18" t="s">
        <v>572</v>
      </c>
    </row>
    <row r="24" spans="1:41" x14ac:dyDescent="0.2">
      <c r="A24" s="1" t="s">
        <v>101</v>
      </c>
      <c r="B24" s="1" t="s">
        <v>428</v>
      </c>
      <c r="C24" s="18" t="s">
        <v>152</v>
      </c>
      <c r="D24" s="19" t="s">
        <v>55</v>
      </c>
      <c r="E24" s="18" t="s">
        <v>353</v>
      </c>
      <c r="F24" s="18">
        <v>2000</v>
      </c>
      <c r="G24" s="18" t="s">
        <v>194</v>
      </c>
      <c r="H24" s="24" t="s">
        <v>261</v>
      </c>
      <c r="I24" s="21" t="s">
        <v>236</v>
      </c>
      <c r="J24" s="18" t="s">
        <v>291</v>
      </c>
      <c r="K24" s="18" t="s">
        <v>295</v>
      </c>
      <c r="L24" s="18" t="s">
        <v>710</v>
      </c>
      <c r="M24" s="18" t="s">
        <v>309</v>
      </c>
      <c r="N24" s="22" t="s">
        <v>219</v>
      </c>
      <c r="O24" s="18" t="s">
        <v>219</v>
      </c>
      <c r="P24" s="18" t="s">
        <v>219</v>
      </c>
      <c r="Q24" s="18" t="s">
        <v>219</v>
      </c>
      <c r="R24" s="22" t="s">
        <v>4</v>
      </c>
      <c r="S24" s="22" t="s">
        <v>4</v>
      </c>
      <c r="T24" s="39" t="s">
        <v>248</v>
      </c>
      <c r="U24" s="2" t="s">
        <v>248</v>
      </c>
      <c r="V24" t="str" cm="1">
        <f t="array" ref="V24">_xlfn.IFS(T24="Not Applicable", "Not Applicable", T24&lt;=3,"Low",T24&gt;=4, "High")</f>
        <v>Not Applicable</v>
      </c>
      <c r="W24" t="s">
        <v>4</v>
      </c>
      <c r="Y24" t="s">
        <v>4</v>
      </c>
      <c r="AA24" t="s">
        <v>4</v>
      </c>
      <c r="AC24" t="s">
        <v>4</v>
      </c>
      <c r="AD24" s="2"/>
      <c r="AE24" s="2"/>
      <c r="AF24" t="s">
        <v>5</v>
      </c>
      <c r="AG24" t="s">
        <v>525</v>
      </c>
      <c r="AH24" t="s">
        <v>3</v>
      </c>
      <c r="AI24" s="22" t="s">
        <v>4</v>
      </c>
      <c r="AJ24" t="s">
        <v>248</v>
      </c>
      <c r="AK24" s="22" t="s">
        <v>248</v>
      </c>
      <c r="AL24" s="18" t="s">
        <v>4</v>
      </c>
      <c r="AM24" t="s">
        <v>248</v>
      </c>
      <c r="AN24" t="s">
        <v>22</v>
      </c>
      <c r="AO24" s="18" t="s">
        <v>571</v>
      </c>
    </row>
    <row r="25" spans="1:41" x14ac:dyDescent="0.2">
      <c r="A25" s="1" t="s">
        <v>102</v>
      </c>
      <c r="B25" s="1" t="s">
        <v>429</v>
      </c>
      <c r="C25" s="18" t="s">
        <v>153</v>
      </c>
      <c r="D25" s="19" t="s">
        <v>56</v>
      </c>
      <c r="E25" s="18" t="s">
        <v>354</v>
      </c>
      <c r="F25" s="18">
        <v>2017</v>
      </c>
      <c r="G25" s="18" t="s">
        <v>195</v>
      </c>
      <c r="H25" s="24" t="s">
        <v>262</v>
      </c>
      <c r="I25" s="21" t="s">
        <v>237</v>
      </c>
      <c r="J25" s="18" t="s">
        <v>293</v>
      </c>
      <c r="K25" s="18" t="s">
        <v>10</v>
      </c>
      <c r="L25" s="18" t="s">
        <v>671</v>
      </c>
      <c r="M25" s="18" t="s">
        <v>318</v>
      </c>
      <c r="N25" s="22" t="s">
        <v>732</v>
      </c>
      <c r="O25" s="18" t="s">
        <v>734</v>
      </c>
      <c r="P25" s="18" t="s">
        <v>735</v>
      </c>
      <c r="Q25" s="18" t="s">
        <v>733</v>
      </c>
      <c r="R25" s="22" t="s">
        <v>217</v>
      </c>
      <c r="S25" s="22" t="s">
        <v>5</v>
      </c>
      <c r="T25" s="39">
        <v>3</v>
      </c>
      <c r="U25" s="2" t="s">
        <v>736</v>
      </c>
      <c r="V25" t="str" cm="1">
        <f t="array" ref="V25">_xlfn.IFS(T25="Not Applicable", "Not Applicable", T25&lt;=3,"Low",T25&gt;=4, "High")</f>
        <v>Low</v>
      </c>
      <c r="W25" t="s">
        <v>5</v>
      </c>
      <c r="X25" t="s">
        <v>807</v>
      </c>
      <c r="Y25" t="s">
        <v>4</v>
      </c>
      <c r="AA25" t="s">
        <v>4</v>
      </c>
      <c r="AC25" t="s">
        <v>4</v>
      </c>
      <c r="AD25" s="2"/>
      <c r="AE25" s="2"/>
      <c r="AF25" t="s">
        <v>5</v>
      </c>
      <c r="AG25" t="s">
        <v>526</v>
      </c>
      <c r="AH25" t="s">
        <v>7</v>
      </c>
      <c r="AI25" s="22" t="s">
        <v>4</v>
      </c>
      <c r="AJ25" t="s">
        <v>248</v>
      </c>
      <c r="AK25" s="22" t="s">
        <v>248</v>
      </c>
      <c r="AL25" s="18" t="s">
        <v>5</v>
      </c>
      <c r="AM25" t="s">
        <v>496</v>
      </c>
      <c r="AN25" t="s">
        <v>3</v>
      </c>
      <c r="AO25" s="18" t="s">
        <v>571</v>
      </c>
    </row>
    <row r="26" spans="1:41" x14ac:dyDescent="0.2">
      <c r="A26" s="1" t="s">
        <v>103</v>
      </c>
      <c r="B26" s="1" t="s">
        <v>430</v>
      </c>
      <c r="C26" s="18" t="s">
        <v>154</v>
      </c>
      <c r="D26" s="19" t="s">
        <v>57</v>
      </c>
      <c r="E26" s="18" t="s">
        <v>355</v>
      </c>
      <c r="F26" s="18">
        <v>2020</v>
      </c>
      <c r="G26" s="18" t="s">
        <v>196</v>
      </c>
      <c r="H26" s="24" t="s">
        <v>263</v>
      </c>
      <c r="I26" s="21" t="s">
        <v>238</v>
      </c>
      <c r="J26" s="18" t="s">
        <v>292</v>
      </c>
      <c r="K26" s="18" t="s">
        <v>405</v>
      </c>
      <c r="L26" s="18" t="s">
        <v>691</v>
      </c>
      <c r="M26" s="18" t="s">
        <v>315</v>
      </c>
      <c r="N26" s="22" t="s">
        <v>393</v>
      </c>
      <c r="O26" s="18"/>
      <c r="P26" s="18" t="s">
        <v>610</v>
      </c>
      <c r="Q26" s="18" t="s">
        <v>633</v>
      </c>
      <c r="R26" s="22" t="s">
        <v>217</v>
      </c>
      <c r="S26" s="22" t="s">
        <v>5</v>
      </c>
      <c r="T26" s="39">
        <v>4</v>
      </c>
      <c r="U26" s="2" t="s">
        <v>707</v>
      </c>
      <c r="V26" t="str" cm="1">
        <f t="array" ref="V26">_xlfn.IFS(T26="Not Applicable", "Not Applicable", T26&lt;=3,"Low",T26&gt;=4, "High")</f>
        <v>High</v>
      </c>
      <c r="W26" t="s">
        <v>4</v>
      </c>
      <c r="X26" t="s">
        <v>808</v>
      </c>
      <c r="Y26" t="s">
        <v>4</v>
      </c>
      <c r="AA26" t="s">
        <v>4</v>
      </c>
      <c r="AC26" t="s">
        <v>4</v>
      </c>
      <c r="AD26" s="2"/>
      <c r="AE26" s="2"/>
      <c r="AF26" t="s">
        <v>5</v>
      </c>
      <c r="AG26" t="s">
        <v>527</v>
      </c>
      <c r="AH26" t="s">
        <v>3</v>
      </c>
      <c r="AI26" s="22" t="s">
        <v>4</v>
      </c>
      <c r="AJ26" t="s">
        <v>248</v>
      </c>
      <c r="AK26" s="22" t="s">
        <v>248</v>
      </c>
      <c r="AL26" s="18" t="s">
        <v>5</v>
      </c>
      <c r="AM26" t="s">
        <v>492</v>
      </c>
      <c r="AN26" t="s">
        <v>3</v>
      </c>
      <c r="AO26" s="18" t="s">
        <v>571</v>
      </c>
    </row>
    <row r="27" spans="1:41" x14ac:dyDescent="0.2">
      <c r="A27" s="1" t="s">
        <v>104</v>
      </c>
      <c r="B27" s="1" t="s">
        <v>431</v>
      </c>
      <c r="C27" s="18" t="s">
        <v>557</v>
      </c>
      <c r="D27" s="19" t="s">
        <v>58</v>
      </c>
      <c r="E27" s="18" t="s">
        <v>356</v>
      </c>
      <c r="F27" s="18">
        <v>1992</v>
      </c>
      <c r="G27" s="18" t="s">
        <v>220</v>
      </c>
      <c r="H27" s="3" t="s">
        <v>279</v>
      </c>
      <c r="I27" s="21" t="s">
        <v>233</v>
      </c>
      <c r="J27" s="18" t="s">
        <v>293</v>
      </c>
      <c r="K27" s="18" t="s">
        <v>299</v>
      </c>
      <c r="L27" s="18" t="s">
        <v>672</v>
      </c>
      <c r="M27" s="18" t="s">
        <v>308</v>
      </c>
      <c r="N27" s="22" t="s">
        <v>394</v>
      </c>
      <c r="O27" s="18" t="s">
        <v>583</v>
      </c>
      <c r="P27" s="18" t="s">
        <v>611</v>
      </c>
      <c r="Q27" s="18" t="s">
        <v>219</v>
      </c>
      <c r="R27" s="22" t="s">
        <v>7</v>
      </c>
      <c r="S27" s="22" t="s">
        <v>7</v>
      </c>
      <c r="T27" s="39" t="s">
        <v>248</v>
      </c>
      <c r="U27" s="2" t="s">
        <v>248</v>
      </c>
      <c r="V27" t="str" cm="1">
        <f t="array" ref="V27">_xlfn.IFS(T27="Not Applicable", "Not Applicable", T27&lt;=3,"Low",T27&gt;=4, "High")</f>
        <v>Not Applicable</v>
      </c>
      <c r="W27" t="s">
        <v>4</v>
      </c>
      <c r="Y27" t="s">
        <v>4</v>
      </c>
      <c r="AA27" t="s">
        <v>4</v>
      </c>
      <c r="AC27" t="s">
        <v>4</v>
      </c>
      <c r="AD27" s="2"/>
      <c r="AE27" s="2"/>
      <c r="AF27" t="s">
        <v>5</v>
      </c>
      <c r="AG27" t="s">
        <v>528</v>
      </c>
      <c r="AH27" t="s">
        <v>3</v>
      </c>
      <c r="AI27" s="22" t="s">
        <v>5</v>
      </c>
      <c r="AJ27" t="s">
        <v>473</v>
      </c>
      <c r="AK27" s="22" t="s">
        <v>3</v>
      </c>
      <c r="AL27" s="18" t="s">
        <v>4</v>
      </c>
      <c r="AM27" t="s">
        <v>248</v>
      </c>
      <c r="AN27" t="s">
        <v>22</v>
      </c>
      <c r="AO27" s="18" t="s">
        <v>571</v>
      </c>
    </row>
    <row r="28" spans="1:41" x14ac:dyDescent="0.2">
      <c r="A28" s="1" t="s">
        <v>105</v>
      </c>
      <c r="B28" s="1" t="s">
        <v>432</v>
      </c>
      <c r="C28" s="18" t="s">
        <v>155</v>
      </c>
      <c r="D28" s="19" t="s">
        <v>59</v>
      </c>
      <c r="E28" s="18" t="s">
        <v>357</v>
      </c>
      <c r="F28" s="18">
        <v>2024</v>
      </c>
      <c r="G28" s="18" t="s">
        <v>197</v>
      </c>
      <c r="H28" s="24" t="s">
        <v>264</v>
      </c>
      <c r="I28" s="21" t="s">
        <v>234</v>
      </c>
      <c r="J28" s="18" t="s">
        <v>293</v>
      </c>
      <c r="K28" s="18" t="s">
        <v>297</v>
      </c>
      <c r="L28" s="18" t="s">
        <v>673</v>
      </c>
      <c r="M28" s="18" t="s">
        <v>319</v>
      </c>
      <c r="N28" s="22" t="s">
        <v>395</v>
      </c>
      <c r="O28" s="18" t="s">
        <v>584</v>
      </c>
      <c r="P28" s="18"/>
      <c r="Q28" s="18" t="s">
        <v>703</v>
      </c>
      <c r="R28" s="22" t="s">
        <v>217</v>
      </c>
      <c r="S28" s="22" t="s">
        <v>5</v>
      </c>
      <c r="T28" s="39">
        <v>3</v>
      </c>
      <c r="U28" s="2" t="s">
        <v>708</v>
      </c>
      <c r="V28" t="str" cm="1">
        <f t="array" ref="V28">_xlfn.IFS(T28="Not Applicable", "Not Applicable", T28&lt;=3,"Low",T28&gt;=4, "High")</f>
        <v>Low</v>
      </c>
      <c r="W28" t="s">
        <v>5</v>
      </c>
      <c r="X28" t="s">
        <v>809</v>
      </c>
      <c r="Y28" t="s">
        <v>4</v>
      </c>
      <c r="AA28" t="s">
        <v>4</v>
      </c>
      <c r="AC28" t="s">
        <v>4</v>
      </c>
      <c r="AD28" s="2"/>
      <c r="AE28" s="2"/>
      <c r="AF28" t="s">
        <v>5</v>
      </c>
      <c r="AG28" t="s">
        <v>529</v>
      </c>
      <c r="AH28" t="s">
        <v>3</v>
      </c>
      <c r="AI28" s="22" t="s">
        <v>5</v>
      </c>
      <c r="AJ28" t="s">
        <v>474</v>
      </c>
      <c r="AK28" s="22" t="s">
        <v>3</v>
      </c>
      <c r="AL28" s="18" t="s">
        <v>5</v>
      </c>
      <c r="AM28" t="s">
        <v>497</v>
      </c>
      <c r="AN28" t="s">
        <v>3</v>
      </c>
      <c r="AO28" s="18" t="s">
        <v>570</v>
      </c>
    </row>
    <row r="29" spans="1:41" x14ac:dyDescent="0.2">
      <c r="A29" s="1" t="s">
        <v>106</v>
      </c>
      <c r="B29" s="1" t="s">
        <v>433</v>
      </c>
      <c r="C29" s="18" t="s">
        <v>156</v>
      </c>
      <c r="D29" s="19" t="s">
        <v>60</v>
      </c>
      <c r="E29" s="18" t="s">
        <v>358</v>
      </c>
      <c r="F29" s="18">
        <v>2021</v>
      </c>
      <c r="G29" s="18" t="s">
        <v>198</v>
      </c>
      <c r="H29" s="24" t="s">
        <v>280</v>
      </c>
      <c r="I29" s="21" t="s">
        <v>239</v>
      </c>
      <c r="J29" s="18" t="s">
        <v>291</v>
      </c>
      <c r="K29" s="18" t="s">
        <v>304</v>
      </c>
      <c r="L29" s="18" t="s">
        <v>674</v>
      </c>
      <c r="M29" s="18" t="s">
        <v>320</v>
      </c>
      <c r="N29" s="22" t="s">
        <v>391</v>
      </c>
      <c r="O29" s="18" t="s">
        <v>711</v>
      </c>
      <c r="P29" s="18" t="s">
        <v>712</v>
      </c>
      <c r="Q29" s="18" t="s">
        <v>219</v>
      </c>
      <c r="R29" s="22" t="s">
        <v>218</v>
      </c>
      <c r="S29" s="22" t="s">
        <v>5</v>
      </c>
      <c r="T29" s="39">
        <v>2</v>
      </c>
      <c r="U29" s="2" t="s">
        <v>714</v>
      </c>
      <c r="V29" t="str" cm="1">
        <f t="array" ref="V29">_xlfn.IFS(T29="Not Applicable", "Not Applicable", T29&lt;=3,"Low",T29&gt;=4, "High")</f>
        <v>Low</v>
      </c>
      <c r="W29" t="s">
        <v>4</v>
      </c>
      <c r="Y29" t="s">
        <v>4</v>
      </c>
      <c r="AA29" t="s">
        <v>4</v>
      </c>
      <c r="AC29" t="s">
        <v>4</v>
      </c>
      <c r="AD29" s="2"/>
      <c r="AE29" s="2"/>
      <c r="AF29" t="s">
        <v>5</v>
      </c>
      <c r="AG29" t="s">
        <v>530</v>
      </c>
      <c r="AH29" t="s">
        <v>3</v>
      </c>
      <c r="AI29" s="22" t="s">
        <v>4</v>
      </c>
      <c r="AJ29" t="s">
        <v>248</v>
      </c>
      <c r="AK29" s="22" t="s">
        <v>248</v>
      </c>
      <c r="AL29" s="18" t="s">
        <v>5</v>
      </c>
      <c r="AM29" t="s">
        <v>498</v>
      </c>
      <c r="AN29" t="s">
        <v>3</v>
      </c>
      <c r="AO29" s="18" t="s">
        <v>570</v>
      </c>
    </row>
    <row r="30" spans="1:41" x14ac:dyDescent="0.2">
      <c r="A30" s="1" t="s">
        <v>175</v>
      </c>
      <c r="B30" s="1" t="s">
        <v>107</v>
      </c>
      <c r="C30" s="18" t="s">
        <v>157</v>
      </c>
      <c r="D30" s="19" t="s">
        <v>28</v>
      </c>
      <c r="E30" s="18" t="s">
        <v>376</v>
      </c>
      <c r="F30" s="18">
        <v>2019</v>
      </c>
      <c r="G30" s="18" t="s">
        <v>199</v>
      </c>
      <c r="H30" s="24" t="s">
        <v>281</v>
      </c>
      <c r="I30" s="21" t="s">
        <v>240</v>
      </c>
      <c r="J30" s="18" t="s">
        <v>291</v>
      </c>
      <c r="K30" s="18" t="s">
        <v>405</v>
      </c>
      <c r="L30" s="18" t="s">
        <v>695</v>
      </c>
      <c r="M30" s="18" t="s">
        <v>321</v>
      </c>
      <c r="N30" s="22" t="s">
        <v>566</v>
      </c>
      <c r="O30" s="18" t="s">
        <v>585</v>
      </c>
      <c r="P30" s="18" t="s">
        <v>612</v>
      </c>
      <c r="Q30" s="18" t="s">
        <v>697</v>
      </c>
      <c r="R30" s="22" t="s">
        <v>217</v>
      </c>
      <c r="S30" s="22" t="s">
        <v>5</v>
      </c>
      <c r="T30" s="13">
        <v>5</v>
      </c>
      <c r="U30" s="2" t="s">
        <v>775</v>
      </c>
      <c r="V30" t="str" cm="1">
        <f t="array" ref="V30">_xlfn.IFS(T30="Not Applicable", "Not Applicable", T30&lt;=3,"Low",T30&gt;=4, "High")</f>
        <v>High</v>
      </c>
      <c r="W30" t="s">
        <v>5</v>
      </c>
      <c r="X30" t="s">
        <v>810</v>
      </c>
      <c r="Y30" t="s">
        <v>4</v>
      </c>
      <c r="AA30" t="s">
        <v>4</v>
      </c>
      <c r="AB30" t="s">
        <v>846</v>
      </c>
      <c r="AC30" t="s">
        <v>7</v>
      </c>
      <c r="AD30" s="2"/>
      <c r="AE30" s="2" t="s">
        <v>878</v>
      </c>
      <c r="AF30" t="s">
        <v>5</v>
      </c>
      <c r="AG30" t="s">
        <v>531</v>
      </c>
      <c r="AH30" t="s">
        <v>3</v>
      </c>
      <c r="AI30" s="22" t="s">
        <v>5</v>
      </c>
      <c r="AJ30" t="s">
        <v>475</v>
      </c>
      <c r="AK30" s="22" t="s">
        <v>3</v>
      </c>
      <c r="AL30" s="18" t="s">
        <v>5</v>
      </c>
      <c r="AM30" t="s">
        <v>492</v>
      </c>
      <c r="AN30" t="s">
        <v>3</v>
      </c>
      <c r="AO30" s="18" t="s">
        <v>572</v>
      </c>
    </row>
    <row r="31" spans="1:41" ht="17" customHeight="1" x14ac:dyDescent="0.2">
      <c r="A31" s="1" t="s">
        <v>175</v>
      </c>
      <c r="B31" s="1" t="s">
        <v>108</v>
      </c>
      <c r="C31" s="18" t="s">
        <v>157</v>
      </c>
      <c r="D31" s="19" t="s">
        <v>29</v>
      </c>
      <c r="E31" s="18" t="s">
        <v>376</v>
      </c>
      <c r="F31" s="18">
        <v>2019</v>
      </c>
      <c r="G31" s="18" t="s">
        <v>199</v>
      </c>
      <c r="H31" s="24" t="s">
        <v>281</v>
      </c>
      <c r="I31" s="21" t="s">
        <v>240</v>
      </c>
      <c r="J31" s="18" t="s">
        <v>291</v>
      </c>
      <c r="K31" s="18" t="s">
        <v>405</v>
      </c>
      <c r="L31" s="18" t="s">
        <v>696</v>
      </c>
      <c r="M31" s="18" t="s">
        <v>321</v>
      </c>
      <c r="N31" s="22" t="s">
        <v>566</v>
      </c>
      <c r="O31" s="18" t="s">
        <v>586</v>
      </c>
      <c r="P31" s="18" t="s">
        <v>613</v>
      </c>
      <c r="Q31" s="18" t="s">
        <v>634</v>
      </c>
      <c r="R31" s="22" t="s">
        <v>217</v>
      </c>
      <c r="S31" s="22" t="s">
        <v>5</v>
      </c>
      <c r="T31" s="39">
        <v>4</v>
      </c>
      <c r="U31" s="2" t="s">
        <v>700</v>
      </c>
      <c r="V31" t="str" cm="1">
        <f t="array" ref="V31">_xlfn.IFS(T31="Not Applicable", "Not Applicable", T31&lt;=3,"Low",T31&gt;=4, "High")</f>
        <v>High</v>
      </c>
      <c r="W31" t="s">
        <v>5</v>
      </c>
      <c r="X31" t="s">
        <v>811</v>
      </c>
      <c r="Y31" t="s">
        <v>5</v>
      </c>
      <c r="Z31" t="s">
        <v>830</v>
      </c>
      <c r="AA31" t="s">
        <v>4</v>
      </c>
      <c r="AC31" t="s">
        <v>7</v>
      </c>
      <c r="AD31" s="2"/>
      <c r="AE31" s="2" t="s">
        <v>878</v>
      </c>
      <c r="AF31" t="s">
        <v>5</v>
      </c>
      <c r="AG31" t="s">
        <v>523</v>
      </c>
      <c r="AH31" t="s">
        <v>6</v>
      </c>
      <c r="AI31" s="22" t="s">
        <v>5</v>
      </c>
      <c r="AJ31" t="s">
        <v>476</v>
      </c>
      <c r="AK31" s="22" t="s">
        <v>3</v>
      </c>
      <c r="AL31" s="18" t="s">
        <v>4</v>
      </c>
      <c r="AM31" t="s">
        <v>248</v>
      </c>
      <c r="AN31" t="s">
        <v>248</v>
      </c>
      <c r="AO31" s="18" t="s">
        <v>572</v>
      </c>
    </row>
    <row r="32" spans="1:41" x14ac:dyDescent="0.2">
      <c r="A32" s="1" t="s">
        <v>109</v>
      </c>
      <c r="B32" s="1" t="s">
        <v>434</v>
      </c>
      <c r="C32" s="18" t="s">
        <v>158</v>
      </c>
      <c r="D32" s="19" t="s">
        <v>61</v>
      </c>
      <c r="E32" s="18" t="s">
        <v>359</v>
      </c>
      <c r="F32" s="18">
        <v>1983</v>
      </c>
      <c r="G32" s="18" t="s">
        <v>200</v>
      </c>
      <c r="H32" s="24" t="s">
        <v>265</v>
      </c>
      <c r="I32" s="21" t="s">
        <v>222</v>
      </c>
      <c r="J32" s="18" t="s">
        <v>291</v>
      </c>
      <c r="K32" s="18" t="s">
        <v>300</v>
      </c>
      <c r="L32" s="18" t="s">
        <v>763</v>
      </c>
      <c r="M32" s="18" t="s">
        <v>308</v>
      </c>
      <c r="N32" s="22" t="s">
        <v>396</v>
      </c>
      <c r="O32" s="18" t="s">
        <v>762</v>
      </c>
      <c r="P32" s="18"/>
      <c r="Q32" s="18" t="s">
        <v>219</v>
      </c>
      <c r="R32" s="22" t="s">
        <v>217</v>
      </c>
      <c r="S32" s="22" t="s">
        <v>7</v>
      </c>
      <c r="T32" s="39" t="s">
        <v>248</v>
      </c>
      <c r="U32" s="2" t="s">
        <v>248</v>
      </c>
      <c r="V32" t="str" cm="1">
        <f t="array" ref="V32">_xlfn.IFS(T32="Not Applicable", "Not Applicable", T32&lt;=3,"Low",T32&gt;=4, "High")</f>
        <v>Not Applicable</v>
      </c>
      <c r="W32" t="s">
        <v>4</v>
      </c>
      <c r="Y32" t="s">
        <v>4</v>
      </c>
      <c r="AA32" t="s">
        <v>4</v>
      </c>
      <c r="AC32" t="s">
        <v>4</v>
      </c>
      <c r="AD32" s="2"/>
      <c r="AE32" s="2"/>
      <c r="AF32" t="s">
        <v>5</v>
      </c>
      <c r="AG32" t="s">
        <v>532</v>
      </c>
      <c r="AH32" t="s">
        <v>7</v>
      </c>
      <c r="AI32" s="22" t="s">
        <v>4</v>
      </c>
      <c r="AJ32" t="s">
        <v>248</v>
      </c>
      <c r="AK32" s="22" t="s">
        <v>248</v>
      </c>
      <c r="AL32" s="18" t="s">
        <v>4</v>
      </c>
      <c r="AM32" t="s">
        <v>248</v>
      </c>
      <c r="AN32" t="s">
        <v>22</v>
      </c>
      <c r="AO32" s="18" t="s">
        <v>573</v>
      </c>
    </row>
    <row r="33" spans="1:41" x14ac:dyDescent="0.2">
      <c r="A33" s="1" t="s">
        <v>110</v>
      </c>
      <c r="B33" s="1" t="s">
        <v>435</v>
      </c>
      <c r="C33" s="18" t="s">
        <v>159</v>
      </c>
      <c r="D33" s="19" t="s">
        <v>62</v>
      </c>
      <c r="E33" s="18" t="s">
        <v>360</v>
      </c>
      <c r="F33" s="18">
        <v>2018</v>
      </c>
      <c r="G33" s="18" t="s">
        <v>194</v>
      </c>
      <c r="H33" s="24" t="s">
        <v>266</v>
      </c>
      <c r="I33" s="21" t="s">
        <v>231</v>
      </c>
      <c r="J33" s="18" t="s">
        <v>293</v>
      </c>
      <c r="K33" s="18" t="s">
        <v>295</v>
      </c>
      <c r="L33" s="18" t="s">
        <v>688</v>
      </c>
      <c r="M33" s="18" t="s">
        <v>322</v>
      </c>
      <c r="N33" s="22" t="s">
        <v>219</v>
      </c>
      <c r="O33" s="18" t="s">
        <v>219</v>
      </c>
      <c r="P33" s="18" t="s">
        <v>614</v>
      </c>
      <c r="Q33" s="18" t="s">
        <v>635</v>
      </c>
      <c r="R33" s="22" t="s">
        <v>218</v>
      </c>
      <c r="S33" s="22" t="s">
        <v>4</v>
      </c>
      <c r="T33" s="39" t="s">
        <v>248</v>
      </c>
      <c r="U33" s="2" t="s">
        <v>248</v>
      </c>
      <c r="V33" t="str" cm="1">
        <f t="array" ref="V33">_xlfn.IFS(T33="Not Applicable", "Not Applicable", T33&lt;=3,"Low",T33&gt;=4, "High")</f>
        <v>Not Applicable</v>
      </c>
      <c r="W33" t="s">
        <v>4</v>
      </c>
      <c r="X33" t="s">
        <v>812</v>
      </c>
      <c r="Y33" t="s">
        <v>4</v>
      </c>
      <c r="AA33" t="s">
        <v>4</v>
      </c>
      <c r="AC33" t="s">
        <v>4</v>
      </c>
      <c r="AD33" s="2"/>
      <c r="AE33" s="2"/>
      <c r="AF33" t="s">
        <v>5</v>
      </c>
      <c r="AG33" t="s">
        <v>533</v>
      </c>
      <c r="AH33" t="s">
        <v>3</v>
      </c>
      <c r="AI33" s="22" t="s">
        <v>4</v>
      </c>
      <c r="AJ33" t="s">
        <v>248</v>
      </c>
      <c r="AK33" s="22" t="s">
        <v>248</v>
      </c>
      <c r="AL33" s="18" t="s">
        <v>5</v>
      </c>
      <c r="AM33" t="s">
        <v>499</v>
      </c>
      <c r="AN33" t="s">
        <v>3</v>
      </c>
      <c r="AO33" s="18" t="s">
        <v>571</v>
      </c>
    </row>
    <row r="34" spans="1:41" x14ac:dyDescent="0.2">
      <c r="A34" s="1" t="s">
        <v>111</v>
      </c>
      <c r="B34" s="1" t="s">
        <v>436</v>
      </c>
      <c r="C34" s="18" t="s">
        <v>160</v>
      </c>
      <c r="D34" s="19" t="s">
        <v>63</v>
      </c>
      <c r="E34" s="18" t="s">
        <v>361</v>
      </c>
      <c r="F34" s="18">
        <v>2021</v>
      </c>
      <c r="G34" s="18" t="s">
        <v>201</v>
      </c>
      <c r="H34" s="3" t="s">
        <v>279</v>
      </c>
      <c r="I34" s="21" t="s">
        <v>454</v>
      </c>
      <c r="J34" s="18" t="s">
        <v>293</v>
      </c>
      <c r="K34" s="18" t="s">
        <v>301</v>
      </c>
      <c r="L34" s="18" t="s">
        <v>675</v>
      </c>
      <c r="M34" s="18" t="s">
        <v>323</v>
      </c>
      <c r="N34" s="22" t="s">
        <v>397</v>
      </c>
      <c r="O34" s="18" t="s">
        <v>587</v>
      </c>
      <c r="P34" s="18" t="s">
        <v>587</v>
      </c>
      <c r="Q34" s="18" t="s">
        <v>219</v>
      </c>
      <c r="R34" s="22" t="s">
        <v>7</v>
      </c>
      <c r="S34" s="22" t="s">
        <v>4</v>
      </c>
      <c r="T34" s="39" t="s">
        <v>248</v>
      </c>
      <c r="U34" s="2" t="s">
        <v>723</v>
      </c>
      <c r="V34" t="str" cm="1">
        <f t="array" ref="V34">_xlfn.IFS(T34="Not Applicable", "Not Applicable", T34&lt;=3,"Low",T34&gt;=4, "High")</f>
        <v>Not Applicable</v>
      </c>
      <c r="W34" t="s">
        <v>4</v>
      </c>
      <c r="Y34" t="s">
        <v>4</v>
      </c>
      <c r="AA34" t="s">
        <v>4</v>
      </c>
      <c r="AB34" t="s">
        <v>847</v>
      </c>
      <c r="AC34" t="s">
        <v>4</v>
      </c>
      <c r="AD34" s="2"/>
      <c r="AE34" s="2"/>
      <c r="AF34" t="s">
        <v>5</v>
      </c>
      <c r="AG34" t="s">
        <v>534</v>
      </c>
      <c r="AH34" t="s">
        <v>3</v>
      </c>
      <c r="AI34" s="22" t="s">
        <v>4</v>
      </c>
      <c r="AJ34" t="s">
        <v>248</v>
      </c>
      <c r="AK34" s="22" t="s">
        <v>248</v>
      </c>
      <c r="AL34" s="18" t="s">
        <v>5</v>
      </c>
      <c r="AM34" t="s">
        <v>500</v>
      </c>
      <c r="AN34" t="s">
        <v>3</v>
      </c>
      <c r="AO34" s="18" t="s">
        <v>571</v>
      </c>
    </row>
    <row r="35" spans="1:41" x14ac:dyDescent="0.2">
      <c r="A35" s="1" t="s">
        <v>112</v>
      </c>
      <c r="B35" s="1" t="s">
        <v>437</v>
      </c>
      <c r="C35" s="18" t="s">
        <v>161</v>
      </c>
      <c r="D35" s="19" t="s">
        <v>64</v>
      </c>
      <c r="E35" s="18" t="s">
        <v>362</v>
      </c>
      <c r="F35" s="18">
        <v>2016</v>
      </c>
      <c r="G35" s="18" t="s">
        <v>202</v>
      </c>
      <c r="H35" s="24" t="s">
        <v>282</v>
      </c>
      <c r="I35" s="21" t="s">
        <v>241</v>
      </c>
      <c r="J35" s="18" t="s">
        <v>292</v>
      </c>
      <c r="K35" s="18" t="s">
        <v>10</v>
      </c>
      <c r="L35" s="18" t="s">
        <v>687</v>
      </c>
      <c r="M35" s="18" t="s">
        <v>324</v>
      </c>
      <c r="N35" s="22" t="s">
        <v>387</v>
      </c>
      <c r="O35" s="18" t="s">
        <v>720</v>
      </c>
      <c r="P35" s="18"/>
      <c r="Q35" s="18" t="s">
        <v>219</v>
      </c>
      <c r="R35" s="22" t="s">
        <v>217</v>
      </c>
      <c r="S35" s="22" t="s">
        <v>7</v>
      </c>
      <c r="T35" s="39" t="s">
        <v>248</v>
      </c>
      <c r="U35" s="2" t="s">
        <v>780</v>
      </c>
      <c r="V35" t="str" cm="1">
        <f t="array" ref="V35">_xlfn.IFS(T35="Not Applicable", "Not Applicable", T35&lt;=3,"Low",T35&gt;=4, "High")</f>
        <v>Not Applicable</v>
      </c>
      <c r="W35" t="s">
        <v>4</v>
      </c>
      <c r="Y35" t="s">
        <v>4</v>
      </c>
      <c r="AA35" t="s">
        <v>4</v>
      </c>
      <c r="AC35" t="s">
        <v>4</v>
      </c>
      <c r="AD35" s="2"/>
      <c r="AE35" s="2"/>
      <c r="AF35" t="s">
        <v>5</v>
      </c>
      <c r="AG35" t="s">
        <v>520</v>
      </c>
      <c r="AH35" t="s">
        <v>3</v>
      </c>
      <c r="AI35" s="22" t="s">
        <v>4</v>
      </c>
      <c r="AJ35" t="s">
        <v>248</v>
      </c>
      <c r="AK35" s="22" t="s">
        <v>248</v>
      </c>
      <c r="AL35" s="18" t="s">
        <v>4</v>
      </c>
      <c r="AM35" t="s">
        <v>248</v>
      </c>
      <c r="AN35" t="s">
        <v>22</v>
      </c>
      <c r="AO35" s="18" t="s">
        <v>571</v>
      </c>
    </row>
    <row r="36" spans="1:41" x14ac:dyDescent="0.2">
      <c r="A36" s="1" t="s">
        <v>113</v>
      </c>
      <c r="B36" s="1" t="s">
        <v>438</v>
      </c>
      <c r="C36" s="18" t="s">
        <v>162</v>
      </c>
      <c r="D36" s="19" t="s">
        <v>65</v>
      </c>
      <c r="E36" s="18" t="s">
        <v>363</v>
      </c>
      <c r="F36" s="18">
        <v>2024</v>
      </c>
      <c r="G36" s="18" t="s">
        <v>203</v>
      </c>
      <c r="H36" s="24" t="s">
        <v>267</v>
      </c>
      <c r="I36" s="21" t="s">
        <v>223</v>
      </c>
      <c r="J36" s="18" t="s">
        <v>292</v>
      </c>
      <c r="K36" s="18" t="s">
        <v>302</v>
      </c>
      <c r="L36" s="18" t="s">
        <v>754</v>
      </c>
      <c r="M36" s="18" t="s">
        <v>325</v>
      </c>
      <c r="N36" s="22" t="s">
        <v>398</v>
      </c>
      <c r="O36" s="18" t="s">
        <v>597</v>
      </c>
      <c r="P36" s="18" t="s">
        <v>746</v>
      </c>
      <c r="Q36" s="18" t="s">
        <v>636</v>
      </c>
      <c r="R36" s="22" t="s">
        <v>217</v>
      </c>
      <c r="S36" s="22" t="s">
        <v>5</v>
      </c>
      <c r="T36" s="39">
        <v>4</v>
      </c>
      <c r="U36" s="2" t="s">
        <v>747</v>
      </c>
      <c r="V36" t="str" cm="1">
        <f t="array" ref="V36">_xlfn.IFS(T36="Not Applicable", "Not Applicable", T36&lt;=3,"Low",T36&gt;=4, "High")</f>
        <v>High</v>
      </c>
      <c r="W36" t="s">
        <v>5</v>
      </c>
      <c r="X36" t="s">
        <v>813</v>
      </c>
      <c r="Y36" t="s">
        <v>5</v>
      </c>
      <c r="Z36" t="s">
        <v>831</v>
      </c>
      <c r="AA36" t="s">
        <v>5</v>
      </c>
      <c r="AB36" t="s">
        <v>831</v>
      </c>
      <c r="AC36" t="s">
        <v>7</v>
      </c>
      <c r="AD36" s="2"/>
      <c r="AE36" s="37" t="s">
        <v>865</v>
      </c>
      <c r="AF36" t="s">
        <v>5</v>
      </c>
      <c r="AG36" t="s">
        <v>535</v>
      </c>
      <c r="AH36" t="s">
        <v>7</v>
      </c>
      <c r="AI36" s="22" t="s">
        <v>5</v>
      </c>
      <c r="AJ36" t="s">
        <v>477</v>
      </c>
      <c r="AK36" s="22" t="s">
        <v>3</v>
      </c>
      <c r="AL36" s="18" t="s">
        <v>4</v>
      </c>
      <c r="AM36" t="s">
        <v>248</v>
      </c>
      <c r="AN36" t="s">
        <v>22</v>
      </c>
      <c r="AO36" s="18" t="s">
        <v>572</v>
      </c>
    </row>
    <row r="37" spans="1:41" x14ac:dyDescent="0.2">
      <c r="A37" s="1" t="s">
        <v>114</v>
      </c>
      <c r="B37" s="1" t="s">
        <v>439</v>
      </c>
      <c r="C37" s="18" t="s">
        <v>163</v>
      </c>
      <c r="D37" s="19" t="s">
        <v>66</v>
      </c>
      <c r="E37" s="18" t="s">
        <v>364</v>
      </c>
      <c r="F37" s="18">
        <v>2005</v>
      </c>
      <c r="G37" s="18" t="s">
        <v>204</v>
      </c>
      <c r="H37" s="3" t="s">
        <v>279</v>
      </c>
      <c r="I37" s="21" t="s">
        <v>226</v>
      </c>
      <c r="J37" s="18" t="s">
        <v>292</v>
      </c>
      <c r="K37" s="18" t="s">
        <v>303</v>
      </c>
      <c r="L37" s="18" t="s">
        <v>676</v>
      </c>
      <c r="M37" s="18" t="s">
        <v>326</v>
      </c>
      <c r="N37" s="22" t="s">
        <v>399</v>
      </c>
      <c r="O37" s="18" t="s">
        <v>588</v>
      </c>
      <c r="P37" s="18" t="s">
        <v>615</v>
      </c>
      <c r="Q37" s="18" t="s">
        <v>637</v>
      </c>
      <c r="R37" s="22" t="s">
        <v>217</v>
      </c>
      <c r="S37" s="22" t="s">
        <v>5</v>
      </c>
      <c r="T37" s="39">
        <v>4</v>
      </c>
      <c r="U37" s="2" t="s">
        <v>715</v>
      </c>
      <c r="V37" t="str" cm="1">
        <f t="array" ref="V37">_xlfn.IFS(T37="Not Applicable", "Not Applicable", T37&lt;=3,"Low",T37&gt;=4, "High")</f>
        <v>High</v>
      </c>
      <c r="W37" t="s">
        <v>5</v>
      </c>
      <c r="X37" t="s">
        <v>814</v>
      </c>
      <c r="Y37" t="s">
        <v>4</v>
      </c>
      <c r="Z37" t="s">
        <v>832</v>
      </c>
      <c r="AA37" t="s">
        <v>4</v>
      </c>
      <c r="AB37" t="s">
        <v>848</v>
      </c>
      <c r="AC37" t="s">
        <v>7</v>
      </c>
      <c r="AD37" s="2"/>
      <c r="AE37" s="2" t="s">
        <v>879</v>
      </c>
      <c r="AF37" t="s">
        <v>5</v>
      </c>
      <c r="AG37" t="s">
        <v>536</v>
      </c>
      <c r="AH37" t="s">
        <v>6</v>
      </c>
      <c r="AI37" s="22" t="s">
        <v>5</v>
      </c>
      <c r="AJ37" t="s">
        <v>478</v>
      </c>
      <c r="AK37" s="22" t="s">
        <v>456</v>
      </c>
      <c r="AL37" s="18" t="s">
        <v>4</v>
      </c>
      <c r="AM37" t="s">
        <v>248</v>
      </c>
      <c r="AN37" t="s">
        <v>22</v>
      </c>
      <c r="AO37" s="18" t="s">
        <v>572</v>
      </c>
    </row>
    <row r="38" spans="1:41" x14ac:dyDescent="0.2">
      <c r="A38" s="1" t="s">
        <v>115</v>
      </c>
      <c r="B38" s="1" t="s">
        <v>440</v>
      </c>
      <c r="C38" s="18" t="s">
        <v>164</v>
      </c>
      <c r="D38" s="19" t="s">
        <v>67</v>
      </c>
      <c r="E38" s="18" t="s">
        <v>365</v>
      </c>
      <c r="F38" s="18">
        <v>2018</v>
      </c>
      <c r="G38" s="18" t="s">
        <v>205</v>
      </c>
      <c r="H38" s="24" t="s">
        <v>268</v>
      </c>
      <c r="I38" s="21" t="s">
        <v>234</v>
      </c>
      <c r="J38" s="18" t="s">
        <v>293</v>
      </c>
      <c r="K38" s="18" t="s">
        <v>295</v>
      </c>
      <c r="L38" s="18" t="s">
        <v>679</v>
      </c>
      <c r="M38" s="18" t="s">
        <v>319</v>
      </c>
      <c r="N38" s="22" t="s">
        <v>385</v>
      </c>
      <c r="O38" s="18" t="s">
        <v>692</v>
      </c>
      <c r="P38" s="18" t="s">
        <v>693</v>
      </c>
      <c r="Q38" s="18" t="s">
        <v>638</v>
      </c>
      <c r="R38" s="22" t="s">
        <v>217</v>
      </c>
      <c r="S38" s="22" t="s">
        <v>5</v>
      </c>
      <c r="T38" s="39">
        <v>4</v>
      </c>
      <c r="U38" s="2" t="s">
        <v>765</v>
      </c>
      <c r="V38" t="str" cm="1">
        <f t="array" ref="V38">_xlfn.IFS(T38="Not Applicable", "Not Applicable", T38&lt;=3,"Low",T38&gt;=4, "High")</f>
        <v>High</v>
      </c>
      <c r="W38" t="s">
        <v>4</v>
      </c>
      <c r="X38" t="s">
        <v>815</v>
      </c>
      <c r="Y38" t="s">
        <v>5</v>
      </c>
      <c r="Z38" t="s">
        <v>833</v>
      </c>
      <c r="AA38" t="s">
        <v>4</v>
      </c>
      <c r="AC38" t="s">
        <v>4</v>
      </c>
      <c r="AD38" s="2"/>
      <c r="AE38" s="2"/>
      <c r="AF38" t="s">
        <v>5</v>
      </c>
      <c r="AG38" t="s">
        <v>537</v>
      </c>
      <c r="AH38" t="s">
        <v>3</v>
      </c>
      <c r="AI38" s="22" t="s">
        <v>5</v>
      </c>
      <c r="AJ38" t="s">
        <v>479</v>
      </c>
      <c r="AK38" s="22" t="s">
        <v>3</v>
      </c>
      <c r="AL38" s="18" t="s">
        <v>5</v>
      </c>
      <c r="AM38" t="s">
        <v>501</v>
      </c>
      <c r="AN38" t="s">
        <v>3</v>
      </c>
      <c r="AO38" s="18" t="s">
        <v>572</v>
      </c>
    </row>
    <row r="39" spans="1:41" x14ac:dyDescent="0.2">
      <c r="A39" s="1" t="s">
        <v>116</v>
      </c>
      <c r="B39" s="1" t="s">
        <v>441</v>
      </c>
      <c r="C39" s="18" t="s">
        <v>165</v>
      </c>
      <c r="D39" s="19" t="s">
        <v>68</v>
      </c>
      <c r="E39" s="18" t="s">
        <v>377</v>
      </c>
      <c r="F39" s="18">
        <v>2021</v>
      </c>
      <c r="G39" s="18" t="s">
        <v>203</v>
      </c>
      <c r="H39" s="24" t="s">
        <v>283</v>
      </c>
      <c r="I39" s="21" t="s">
        <v>242</v>
      </c>
      <c r="J39" s="18" t="s">
        <v>292</v>
      </c>
      <c r="K39" s="18" t="s">
        <v>406</v>
      </c>
      <c r="L39" s="18" t="s">
        <v>724</v>
      </c>
      <c r="M39" s="18" t="s">
        <v>327</v>
      </c>
      <c r="N39" s="22" t="s">
        <v>400</v>
      </c>
      <c r="O39" s="18" t="s">
        <v>589</v>
      </c>
      <c r="P39" s="18" t="s">
        <v>616</v>
      </c>
      <c r="Q39" s="18" t="s">
        <v>219</v>
      </c>
      <c r="R39" s="22" t="s">
        <v>217</v>
      </c>
      <c r="S39" s="22" t="s">
        <v>5</v>
      </c>
      <c r="T39" s="13">
        <v>4</v>
      </c>
      <c r="U39" s="2" t="s">
        <v>779</v>
      </c>
      <c r="V39" t="str" cm="1">
        <f t="array" ref="V39">_xlfn.IFS(T39="Not Applicable", "Not Applicable", T39&lt;=3,"Low",T39&gt;=4, "High")</f>
        <v>High</v>
      </c>
      <c r="W39" t="s">
        <v>5</v>
      </c>
      <c r="X39" t="s">
        <v>816</v>
      </c>
      <c r="Y39" t="s">
        <v>5</v>
      </c>
      <c r="Z39" t="s">
        <v>834</v>
      </c>
      <c r="AA39" t="s">
        <v>5</v>
      </c>
      <c r="AB39" t="s">
        <v>849</v>
      </c>
      <c r="AC39" t="s">
        <v>5</v>
      </c>
      <c r="AD39" s="2" t="s">
        <v>867</v>
      </c>
      <c r="AE39" s="2" t="s">
        <v>880</v>
      </c>
      <c r="AF39" t="s">
        <v>5</v>
      </c>
      <c r="AG39" t="s">
        <v>538</v>
      </c>
      <c r="AH39" t="s">
        <v>3</v>
      </c>
      <c r="AI39" s="22" t="s">
        <v>5</v>
      </c>
      <c r="AJ39" t="s">
        <v>472</v>
      </c>
      <c r="AK39" s="22" t="s">
        <v>3</v>
      </c>
      <c r="AL39" s="18" t="s">
        <v>4</v>
      </c>
      <c r="AM39" t="s">
        <v>248</v>
      </c>
      <c r="AN39" t="s">
        <v>22</v>
      </c>
      <c r="AO39" s="18" t="s">
        <v>572</v>
      </c>
    </row>
    <row r="40" spans="1:41" ht="17" customHeight="1" x14ac:dyDescent="0.2">
      <c r="A40" s="1" t="s">
        <v>117</v>
      </c>
      <c r="B40" s="1" t="s">
        <v>442</v>
      </c>
      <c r="C40" s="18" t="s">
        <v>166</v>
      </c>
      <c r="D40" s="19" t="s">
        <v>69</v>
      </c>
      <c r="E40" s="18" t="s">
        <v>558</v>
      </c>
      <c r="F40" s="18">
        <v>2016</v>
      </c>
      <c r="G40" s="18" t="s">
        <v>206</v>
      </c>
      <c r="H40" s="3" t="s">
        <v>279</v>
      </c>
      <c r="I40" s="21" t="s">
        <v>240</v>
      </c>
      <c r="J40" s="18" t="s">
        <v>291</v>
      </c>
      <c r="K40" s="18" t="s">
        <v>295</v>
      </c>
      <c r="L40" s="18" t="s">
        <v>677</v>
      </c>
      <c r="M40" s="18" t="s">
        <v>328</v>
      </c>
      <c r="N40" s="22" t="s">
        <v>401</v>
      </c>
      <c r="O40" s="18" t="s">
        <v>590</v>
      </c>
      <c r="P40" s="18" t="s">
        <v>617</v>
      </c>
      <c r="Q40" s="18" t="s">
        <v>639</v>
      </c>
      <c r="R40" s="22" t="s">
        <v>217</v>
      </c>
      <c r="S40" s="22" t="s">
        <v>5</v>
      </c>
      <c r="T40" s="39">
        <v>3</v>
      </c>
      <c r="U40" s="2" t="s">
        <v>776</v>
      </c>
      <c r="V40" t="str" cm="1">
        <f t="array" ref="V40">_xlfn.IFS(T40="Not Applicable", "Not Applicable", T40&lt;=3,"Low",T40&gt;=4, "High")</f>
        <v>Low</v>
      </c>
      <c r="W40" t="s">
        <v>4</v>
      </c>
      <c r="X40" t="s">
        <v>817</v>
      </c>
      <c r="Y40" t="s">
        <v>5</v>
      </c>
      <c r="Z40" t="s">
        <v>857</v>
      </c>
      <c r="AA40" t="s">
        <v>4</v>
      </c>
      <c r="AC40" t="s">
        <v>4</v>
      </c>
      <c r="AD40" s="2"/>
      <c r="AE40" s="2"/>
      <c r="AF40" t="s">
        <v>5</v>
      </c>
      <c r="AG40" t="s">
        <v>539</v>
      </c>
      <c r="AH40" t="s">
        <v>3</v>
      </c>
      <c r="AI40" s="22" t="s">
        <v>5</v>
      </c>
      <c r="AJ40" t="s">
        <v>480</v>
      </c>
      <c r="AK40" s="22" t="s">
        <v>3</v>
      </c>
      <c r="AL40" s="18" t="s">
        <v>4</v>
      </c>
      <c r="AM40" t="s">
        <v>248</v>
      </c>
      <c r="AN40" t="s">
        <v>22</v>
      </c>
      <c r="AO40" s="18" t="s">
        <v>570</v>
      </c>
    </row>
    <row r="41" spans="1:41" x14ac:dyDescent="0.2">
      <c r="A41" s="1" t="s">
        <v>118</v>
      </c>
      <c r="B41" s="1" t="s">
        <v>443</v>
      </c>
      <c r="C41" s="18" t="s">
        <v>167</v>
      </c>
      <c r="D41" s="19" t="s">
        <v>70</v>
      </c>
      <c r="E41" s="18" t="s">
        <v>407</v>
      </c>
      <c r="F41" s="18">
        <v>2014</v>
      </c>
      <c r="G41" s="18" t="s">
        <v>251</v>
      </c>
      <c r="H41" s="24" t="s">
        <v>284</v>
      </c>
      <c r="I41" s="21" t="s">
        <v>223</v>
      </c>
      <c r="J41" s="18" t="s">
        <v>292</v>
      </c>
      <c r="K41" s="18" t="s">
        <v>406</v>
      </c>
      <c r="L41" s="18" t="s">
        <v>678</v>
      </c>
      <c r="M41" s="18" t="s">
        <v>329</v>
      </c>
      <c r="N41" s="22" t="s">
        <v>391</v>
      </c>
      <c r="O41" s="18" t="s">
        <v>591</v>
      </c>
      <c r="P41" s="18" t="s">
        <v>618</v>
      </c>
      <c r="Q41" s="18" t="s">
        <v>219</v>
      </c>
      <c r="R41" s="22" t="s">
        <v>7</v>
      </c>
      <c r="S41" s="22" t="s">
        <v>7</v>
      </c>
      <c r="T41" s="39" t="s">
        <v>248</v>
      </c>
      <c r="U41" s="2" t="s">
        <v>248</v>
      </c>
      <c r="V41" t="str" cm="1">
        <f t="array" ref="V41">_xlfn.IFS(T41="Not Applicable", "Not Applicable", T41&lt;=3,"Low",T41&gt;=4, "High")</f>
        <v>Not Applicable</v>
      </c>
      <c r="W41" t="s">
        <v>4</v>
      </c>
      <c r="X41" t="s">
        <v>818</v>
      </c>
      <c r="Y41" t="s">
        <v>5</v>
      </c>
      <c r="Z41" t="s">
        <v>835</v>
      </c>
      <c r="AA41" t="s">
        <v>5</v>
      </c>
      <c r="AB41" t="s">
        <v>850</v>
      </c>
      <c r="AC41" t="s">
        <v>7</v>
      </c>
      <c r="AD41" s="2"/>
      <c r="AE41" s="2" t="s">
        <v>881</v>
      </c>
      <c r="AF41" t="s">
        <v>5</v>
      </c>
      <c r="AG41" t="s">
        <v>523</v>
      </c>
      <c r="AH41" t="s">
        <v>6</v>
      </c>
      <c r="AI41" s="22" t="s">
        <v>5</v>
      </c>
      <c r="AJ41" t="s">
        <v>481</v>
      </c>
      <c r="AK41" s="22" t="s">
        <v>3</v>
      </c>
      <c r="AL41" s="18" t="s">
        <v>5</v>
      </c>
      <c r="AM41" t="s">
        <v>501</v>
      </c>
      <c r="AN41" t="s">
        <v>3</v>
      </c>
      <c r="AO41" s="18" t="s">
        <v>572</v>
      </c>
    </row>
    <row r="42" spans="1:41" x14ac:dyDescent="0.2">
      <c r="A42" s="1" t="s">
        <v>119</v>
      </c>
      <c r="B42" s="1" t="s">
        <v>444</v>
      </c>
      <c r="C42" s="18" t="s">
        <v>168</v>
      </c>
      <c r="D42" s="19" t="s">
        <v>71</v>
      </c>
      <c r="E42" s="18" t="s">
        <v>366</v>
      </c>
      <c r="F42" s="18">
        <v>2015</v>
      </c>
      <c r="G42" s="18" t="s">
        <v>207</v>
      </c>
      <c r="H42" s="24" t="s">
        <v>285</v>
      </c>
      <c r="I42" s="21" t="s">
        <v>230</v>
      </c>
      <c r="J42" s="18" t="s">
        <v>292</v>
      </c>
      <c r="K42" s="18" t="s">
        <v>295</v>
      </c>
      <c r="L42" s="18" t="s">
        <v>685</v>
      </c>
      <c r="M42" s="18" t="s">
        <v>309</v>
      </c>
      <c r="N42" s="22" t="s">
        <v>759</v>
      </c>
      <c r="O42" s="18" t="s">
        <v>592</v>
      </c>
      <c r="P42" s="18" t="s">
        <v>619</v>
      </c>
      <c r="Q42" s="18" t="s">
        <v>219</v>
      </c>
      <c r="R42" s="22" t="s">
        <v>7</v>
      </c>
      <c r="S42" s="22" t="s">
        <v>7</v>
      </c>
      <c r="T42" s="39" t="s">
        <v>248</v>
      </c>
      <c r="U42" s="2" t="s">
        <v>248</v>
      </c>
      <c r="V42" t="str" cm="1">
        <f t="array" ref="V42">_xlfn.IFS(T42="Not Applicable", "Not Applicable", T42&lt;=3,"Low",T42&gt;=4, "High")</f>
        <v>Not Applicable</v>
      </c>
      <c r="W42" t="s">
        <v>4</v>
      </c>
      <c r="Y42" t="s">
        <v>4</v>
      </c>
      <c r="AA42" t="s">
        <v>4</v>
      </c>
      <c r="AC42" t="s">
        <v>4</v>
      </c>
      <c r="AD42" s="2"/>
      <c r="AE42" s="2"/>
      <c r="AF42" t="s">
        <v>5</v>
      </c>
      <c r="AG42" t="s">
        <v>511</v>
      </c>
      <c r="AH42" t="s">
        <v>7</v>
      </c>
      <c r="AI42" s="22" t="s">
        <v>5</v>
      </c>
      <c r="AJ42" t="s">
        <v>482</v>
      </c>
      <c r="AK42" s="22" t="s">
        <v>3</v>
      </c>
      <c r="AL42" s="18" t="s">
        <v>5</v>
      </c>
      <c r="AM42" t="s">
        <v>502</v>
      </c>
      <c r="AN42" t="s">
        <v>3</v>
      </c>
      <c r="AO42" s="18" t="s">
        <v>572</v>
      </c>
    </row>
    <row r="43" spans="1:41" x14ac:dyDescent="0.2">
      <c r="A43" s="1" t="s">
        <v>120</v>
      </c>
      <c r="B43" s="1" t="s">
        <v>445</v>
      </c>
      <c r="C43" s="18" t="s">
        <v>169</v>
      </c>
      <c r="D43" s="19" t="s">
        <v>72</v>
      </c>
      <c r="E43" s="18" t="s">
        <v>367</v>
      </c>
      <c r="F43" s="18">
        <v>2013</v>
      </c>
      <c r="G43" s="18" t="s">
        <v>208</v>
      </c>
      <c r="H43" s="24" t="s">
        <v>286</v>
      </c>
      <c r="I43" s="21" t="s">
        <v>226</v>
      </c>
      <c r="J43" s="18" t="s">
        <v>291</v>
      </c>
      <c r="K43" s="18" t="s">
        <v>295</v>
      </c>
      <c r="L43" s="18" t="s">
        <v>753</v>
      </c>
      <c r="M43" s="18" t="s">
        <v>309</v>
      </c>
      <c r="N43" s="22" t="s">
        <v>402</v>
      </c>
      <c r="O43" s="18" t="s">
        <v>757</v>
      </c>
      <c r="P43" s="18" t="s">
        <v>758</v>
      </c>
      <c r="Q43" s="18" t="s">
        <v>640</v>
      </c>
      <c r="R43" s="22" t="s">
        <v>217</v>
      </c>
      <c r="S43" s="22" t="s">
        <v>4</v>
      </c>
      <c r="T43" s="39" t="s">
        <v>248</v>
      </c>
      <c r="U43" s="2" t="s">
        <v>248</v>
      </c>
      <c r="V43" t="str" cm="1">
        <f t="array" ref="V43">_xlfn.IFS(T43="Not Applicable", "Not Applicable", T43&lt;=3,"Low",T43&gt;=4, "High")</f>
        <v>Not Applicable</v>
      </c>
      <c r="W43" t="s">
        <v>4</v>
      </c>
      <c r="Y43" t="s">
        <v>4</v>
      </c>
      <c r="AA43" t="s">
        <v>4</v>
      </c>
      <c r="AC43" t="s">
        <v>4</v>
      </c>
      <c r="AD43" s="2"/>
      <c r="AE43" s="2"/>
      <c r="AF43" t="s">
        <v>5</v>
      </c>
      <c r="AG43" t="s">
        <v>540</v>
      </c>
      <c r="AH43" t="s">
        <v>6</v>
      </c>
      <c r="AI43" s="22" t="s">
        <v>5</v>
      </c>
      <c r="AJ43" t="s">
        <v>476</v>
      </c>
      <c r="AK43" s="22" t="s">
        <v>3</v>
      </c>
      <c r="AL43" s="18" t="s">
        <v>4</v>
      </c>
      <c r="AM43" t="s">
        <v>248</v>
      </c>
      <c r="AN43" t="s">
        <v>22</v>
      </c>
      <c r="AO43" s="18" t="s">
        <v>570</v>
      </c>
    </row>
    <row r="44" spans="1:41" x14ac:dyDescent="0.2">
      <c r="A44" s="1" t="s">
        <v>121</v>
      </c>
      <c r="B44" s="1" t="s">
        <v>446</v>
      </c>
      <c r="C44" s="18" t="s">
        <v>559</v>
      </c>
      <c r="D44" s="19" t="s">
        <v>73</v>
      </c>
      <c r="E44" s="18" t="s">
        <v>368</v>
      </c>
      <c r="F44" s="18">
        <v>2018</v>
      </c>
      <c r="G44" s="18" t="s">
        <v>250</v>
      </c>
      <c r="H44" s="3" t="s">
        <v>279</v>
      </c>
      <c r="I44" s="21" t="s">
        <v>234</v>
      </c>
      <c r="J44" s="18" t="s">
        <v>293</v>
      </c>
      <c r="K44" s="18" t="s">
        <v>295</v>
      </c>
      <c r="L44" s="35" t="s">
        <v>751</v>
      </c>
      <c r="M44" s="18" t="s">
        <v>308</v>
      </c>
      <c r="N44" s="22" t="s">
        <v>387</v>
      </c>
      <c r="O44" s="18" t="s">
        <v>744</v>
      </c>
      <c r="P44" s="18" t="s">
        <v>219</v>
      </c>
      <c r="Q44" s="18" t="s">
        <v>219</v>
      </c>
      <c r="R44" s="22" t="s">
        <v>217</v>
      </c>
      <c r="S44" s="22" t="s">
        <v>5</v>
      </c>
      <c r="T44" s="39">
        <v>5</v>
      </c>
      <c r="U44" s="2" t="s">
        <v>752</v>
      </c>
      <c r="V44" t="str" cm="1">
        <f t="array" ref="V44">_xlfn.IFS(T44="Not Applicable", "Not Applicable", T44&lt;=3,"Low",T44&gt;=4, "High")</f>
        <v>High</v>
      </c>
      <c r="W44" t="s">
        <v>5</v>
      </c>
      <c r="X44" s="32" t="s">
        <v>800</v>
      </c>
      <c r="Y44" t="s">
        <v>5</v>
      </c>
      <c r="Z44" t="s">
        <v>858</v>
      </c>
      <c r="AA44" t="s">
        <v>4</v>
      </c>
      <c r="AC44" t="s">
        <v>4</v>
      </c>
      <c r="AD44" s="2"/>
      <c r="AE44" s="2"/>
      <c r="AF44" t="s">
        <v>5</v>
      </c>
      <c r="AG44" t="s">
        <v>511</v>
      </c>
      <c r="AH44" t="s">
        <v>3</v>
      </c>
      <c r="AI44" s="22" t="s">
        <v>4</v>
      </c>
      <c r="AJ44" t="s">
        <v>248</v>
      </c>
      <c r="AK44" s="22" t="s">
        <v>248</v>
      </c>
      <c r="AL44" s="18" t="s">
        <v>4</v>
      </c>
      <c r="AM44" t="s">
        <v>248</v>
      </c>
      <c r="AN44" t="s">
        <v>22</v>
      </c>
      <c r="AO44" s="18" t="s">
        <v>572</v>
      </c>
    </row>
    <row r="45" spans="1:41" x14ac:dyDescent="0.2">
      <c r="A45" s="1" t="s">
        <v>122</v>
      </c>
      <c r="B45" s="1" t="s">
        <v>447</v>
      </c>
      <c r="C45" s="18" t="s">
        <v>560</v>
      </c>
      <c r="D45" s="19" t="s">
        <v>74</v>
      </c>
      <c r="E45" s="18" t="s">
        <v>369</v>
      </c>
      <c r="F45" s="18">
        <v>2012</v>
      </c>
      <c r="G45" s="18" t="s">
        <v>209</v>
      </c>
      <c r="H45" s="26" t="s">
        <v>455</v>
      </c>
      <c r="I45" s="21" t="s">
        <v>239</v>
      </c>
      <c r="J45" s="18" t="s">
        <v>291</v>
      </c>
      <c r="K45" s="18" t="s">
        <v>302</v>
      </c>
      <c r="L45" s="18" t="s">
        <v>684</v>
      </c>
      <c r="M45" s="18" t="s">
        <v>330</v>
      </c>
      <c r="N45" s="22" t="s">
        <v>219</v>
      </c>
      <c r="O45" s="18" t="s">
        <v>219</v>
      </c>
      <c r="P45" s="18" t="s">
        <v>219</v>
      </c>
      <c r="Q45" s="18" t="s">
        <v>219</v>
      </c>
      <c r="R45" s="22" t="s">
        <v>4</v>
      </c>
      <c r="S45" s="22" t="s">
        <v>4</v>
      </c>
      <c r="T45" s="39" t="s">
        <v>248</v>
      </c>
      <c r="U45" s="2" t="s">
        <v>248</v>
      </c>
      <c r="V45" t="str" cm="1">
        <f t="array" ref="V45">_xlfn.IFS(T45="Not Applicable", "Not Applicable", T45&lt;=3,"Low",T45&gt;=4, "High")</f>
        <v>Not Applicable</v>
      </c>
      <c r="W45" t="s">
        <v>4</v>
      </c>
      <c r="Y45" t="s">
        <v>4</v>
      </c>
      <c r="AA45" t="s">
        <v>4</v>
      </c>
      <c r="AC45" t="s">
        <v>4</v>
      </c>
      <c r="AD45" s="2"/>
      <c r="AE45" s="2"/>
      <c r="AF45" t="s">
        <v>5</v>
      </c>
      <c r="AG45" t="s">
        <v>541</v>
      </c>
      <c r="AH45" t="s">
        <v>7</v>
      </c>
      <c r="AI45" s="22" t="s">
        <v>4</v>
      </c>
      <c r="AJ45" t="s">
        <v>248</v>
      </c>
      <c r="AK45" s="22" t="s">
        <v>248</v>
      </c>
      <c r="AL45" s="18" t="s">
        <v>7</v>
      </c>
      <c r="AM45" t="s">
        <v>248</v>
      </c>
      <c r="AN45" t="s">
        <v>22</v>
      </c>
      <c r="AO45" s="18" t="s">
        <v>571</v>
      </c>
    </row>
    <row r="46" spans="1:41" x14ac:dyDescent="0.2">
      <c r="A46" s="1" t="s">
        <v>123</v>
      </c>
      <c r="B46" s="1" t="s">
        <v>448</v>
      </c>
      <c r="C46" s="18" t="s">
        <v>170</v>
      </c>
      <c r="D46" s="19" t="s">
        <v>75</v>
      </c>
      <c r="E46" s="18" t="s">
        <v>370</v>
      </c>
      <c r="F46" s="18">
        <v>2015</v>
      </c>
      <c r="G46" s="18" t="s">
        <v>210</v>
      </c>
      <c r="H46" s="24" t="s">
        <v>287</v>
      </c>
      <c r="I46" s="21" t="s">
        <v>225</v>
      </c>
      <c r="J46" s="18" t="s">
        <v>291</v>
      </c>
      <c r="K46" s="18" t="s">
        <v>295</v>
      </c>
      <c r="L46" s="18" t="s">
        <v>690</v>
      </c>
      <c r="M46" s="18" t="s">
        <v>309</v>
      </c>
      <c r="N46" s="22" t="s">
        <v>738</v>
      </c>
      <c r="O46" s="18" t="s">
        <v>740</v>
      </c>
      <c r="P46" s="18" t="s">
        <v>739</v>
      </c>
      <c r="Q46" s="18" t="s">
        <v>641</v>
      </c>
      <c r="R46" s="22" t="s">
        <v>217</v>
      </c>
      <c r="S46" s="22" t="s">
        <v>7</v>
      </c>
      <c r="T46" s="39" t="s">
        <v>248</v>
      </c>
      <c r="U46" s="2" t="s">
        <v>248</v>
      </c>
      <c r="V46" t="str" cm="1">
        <f t="array" ref="V46">_xlfn.IFS(T46="Not Applicable", "Not Applicable", T46&lt;=3,"Low",T46&gt;=4, "High")</f>
        <v>Not Applicable</v>
      </c>
      <c r="W46" t="s">
        <v>5</v>
      </c>
      <c r="X46" t="s">
        <v>799</v>
      </c>
      <c r="Y46" t="s">
        <v>4</v>
      </c>
      <c r="AA46" t="s">
        <v>4</v>
      </c>
      <c r="AC46" t="s">
        <v>4</v>
      </c>
      <c r="AD46" s="2"/>
      <c r="AE46" s="2"/>
      <c r="AF46" t="s">
        <v>5</v>
      </c>
      <c r="AG46" t="s">
        <v>542</v>
      </c>
      <c r="AH46" t="s">
        <v>3</v>
      </c>
      <c r="AI46" s="22" t="s">
        <v>4</v>
      </c>
      <c r="AJ46" t="s">
        <v>248</v>
      </c>
      <c r="AK46" s="22" t="s">
        <v>248</v>
      </c>
      <c r="AL46" s="18" t="s">
        <v>4</v>
      </c>
      <c r="AM46" t="s">
        <v>248</v>
      </c>
      <c r="AN46" t="s">
        <v>22</v>
      </c>
      <c r="AO46" s="18" t="s">
        <v>571</v>
      </c>
    </row>
    <row r="47" spans="1:41" x14ac:dyDescent="0.2">
      <c r="A47" s="1" t="s">
        <v>124</v>
      </c>
      <c r="B47" s="1" t="s">
        <v>449</v>
      </c>
      <c r="C47" s="18" t="s">
        <v>561</v>
      </c>
      <c r="D47" s="19" t="s">
        <v>76</v>
      </c>
      <c r="E47" s="18" t="s">
        <v>371</v>
      </c>
      <c r="F47" s="18">
        <v>2023</v>
      </c>
      <c r="G47" s="18" t="s">
        <v>211</v>
      </c>
      <c r="H47" s="24" t="s">
        <v>269</v>
      </c>
      <c r="I47" s="21" t="s">
        <v>243</v>
      </c>
      <c r="J47" s="18" t="s">
        <v>293</v>
      </c>
      <c r="K47" s="18" t="s">
        <v>295</v>
      </c>
      <c r="L47" s="36" t="s">
        <v>737</v>
      </c>
      <c r="M47" s="18" t="s">
        <v>309</v>
      </c>
      <c r="N47" s="22" t="s">
        <v>385</v>
      </c>
      <c r="O47" s="18"/>
      <c r="P47" s="18" t="s">
        <v>219</v>
      </c>
      <c r="Q47" s="18" t="s">
        <v>219</v>
      </c>
      <c r="R47" s="22" t="s">
        <v>4</v>
      </c>
      <c r="S47" s="22" t="s">
        <v>4</v>
      </c>
      <c r="T47" s="39" t="s">
        <v>248</v>
      </c>
      <c r="U47" s="2" t="s">
        <v>248</v>
      </c>
      <c r="V47" t="str" cm="1">
        <f t="array" ref="V47">_xlfn.IFS(T47="Not Applicable", "Not Applicable", T47&lt;=3,"Low",T47&gt;=4, "High")</f>
        <v>Not Applicable</v>
      </c>
      <c r="W47" t="s">
        <v>4</v>
      </c>
      <c r="Y47" t="s">
        <v>4</v>
      </c>
      <c r="AA47" t="s">
        <v>4</v>
      </c>
      <c r="AC47" t="s">
        <v>4</v>
      </c>
      <c r="AD47" s="2"/>
      <c r="AE47" s="2"/>
      <c r="AF47" t="s">
        <v>5</v>
      </c>
      <c r="AG47" t="s">
        <v>543</v>
      </c>
      <c r="AH47" t="s">
        <v>6</v>
      </c>
      <c r="AI47" s="22" t="s">
        <v>4</v>
      </c>
      <c r="AJ47" t="s">
        <v>248</v>
      </c>
      <c r="AK47" s="22" t="s">
        <v>248</v>
      </c>
      <c r="AL47" s="18" t="s">
        <v>4</v>
      </c>
      <c r="AM47" t="s">
        <v>248</v>
      </c>
      <c r="AN47" t="s">
        <v>22</v>
      </c>
      <c r="AO47" s="18" t="s">
        <v>571</v>
      </c>
    </row>
    <row r="48" spans="1:41" x14ac:dyDescent="0.2">
      <c r="A48" s="1" t="s">
        <v>125</v>
      </c>
      <c r="B48" s="1" t="s">
        <v>450</v>
      </c>
      <c r="C48" s="18" t="s">
        <v>562</v>
      </c>
      <c r="D48" s="19" t="s">
        <v>77</v>
      </c>
      <c r="E48" s="18" t="s">
        <v>378</v>
      </c>
      <c r="F48" s="18">
        <v>1993</v>
      </c>
      <c r="G48" s="18" t="s">
        <v>212</v>
      </c>
      <c r="H48" s="3" t="s">
        <v>279</v>
      </c>
      <c r="I48" s="21" t="s">
        <v>244</v>
      </c>
      <c r="J48" s="18" t="s">
        <v>293</v>
      </c>
      <c r="K48" s="18" t="s">
        <v>295</v>
      </c>
      <c r="L48" s="18" t="s">
        <v>680</v>
      </c>
      <c r="M48" s="18" t="s">
        <v>309</v>
      </c>
      <c r="N48" s="22" t="s">
        <v>403</v>
      </c>
      <c r="O48" s="18" t="s">
        <v>716</v>
      </c>
      <c r="P48" s="18" t="s">
        <v>717</v>
      </c>
      <c r="Q48" s="18" t="s">
        <v>705</v>
      </c>
      <c r="R48" s="22" t="s">
        <v>217</v>
      </c>
      <c r="S48" s="22" t="s">
        <v>5</v>
      </c>
      <c r="T48" s="39">
        <v>2</v>
      </c>
      <c r="U48" s="2" t="s">
        <v>718</v>
      </c>
      <c r="V48" t="str" cm="1">
        <f t="array" ref="V48">_xlfn.IFS(T48="Not Applicable", "Not Applicable", T48&lt;=3,"Low",T48&gt;=4, "High")</f>
        <v>Low</v>
      </c>
      <c r="W48" t="s">
        <v>4</v>
      </c>
      <c r="Y48" t="s">
        <v>4</v>
      </c>
      <c r="AA48" t="s">
        <v>4</v>
      </c>
      <c r="AC48" t="s">
        <v>4</v>
      </c>
      <c r="AD48" s="2"/>
      <c r="AE48" s="2"/>
      <c r="AF48" t="s">
        <v>5</v>
      </c>
      <c r="AG48" t="s">
        <v>542</v>
      </c>
      <c r="AH48" t="s">
        <v>766</v>
      </c>
      <c r="AI48" s="22" t="s">
        <v>4</v>
      </c>
      <c r="AJ48" t="s">
        <v>248</v>
      </c>
      <c r="AK48" s="22" t="s">
        <v>248</v>
      </c>
      <c r="AL48" s="18" t="s">
        <v>4</v>
      </c>
      <c r="AM48" t="s">
        <v>248</v>
      </c>
      <c r="AN48" t="s">
        <v>22</v>
      </c>
      <c r="AO48" s="18" t="s">
        <v>572</v>
      </c>
    </row>
    <row r="49" spans="1:41" x14ac:dyDescent="0.2">
      <c r="A49" s="1" t="s">
        <v>126</v>
      </c>
      <c r="B49" s="1" t="s">
        <v>451</v>
      </c>
      <c r="C49" s="18" t="s">
        <v>171</v>
      </c>
      <c r="D49" s="19" t="s">
        <v>78</v>
      </c>
      <c r="E49" s="18" t="s">
        <v>379</v>
      </c>
      <c r="F49" s="18">
        <v>2018</v>
      </c>
      <c r="G49" s="18" t="s">
        <v>206</v>
      </c>
      <c r="H49" s="3" t="s">
        <v>279</v>
      </c>
      <c r="I49" s="21" t="s">
        <v>245</v>
      </c>
      <c r="J49" s="18" t="s">
        <v>292</v>
      </c>
      <c r="K49" s="18" t="s">
        <v>405</v>
      </c>
      <c r="L49" s="18" t="s">
        <v>681</v>
      </c>
      <c r="M49" s="18" t="s">
        <v>315</v>
      </c>
      <c r="N49" s="22" t="s">
        <v>563</v>
      </c>
      <c r="O49" s="18" t="s">
        <v>731</v>
      </c>
      <c r="P49" s="18" t="s">
        <v>620</v>
      </c>
      <c r="Q49" s="18" t="s">
        <v>642</v>
      </c>
      <c r="R49" s="22" t="s">
        <v>217</v>
      </c>
      <c r="S49" s="22" t="s">
        <v>7</v>
      </c>
      <c r="T49" s="39" t="s">
        <v>248</v>
      </c>
      <c r="U49" s="2" t="s">
        <v>248</v>
      </c>
      <c r="V49" t="str" cm="1">
        <f t="array" ref="V49">_xlfn.IFS(T49="Not Applicable", "Not Applicable", T49&lt;=3,"Low",T49&gt;=4, "High")</f>
        <v>Not Applicable</v>
      </c>
      <c r="W49" t="s">
        <v>5</v>
      </c>
      <c r="X49" t="s">
        <v>798</v>
      </c>
      <c r="Y49" t="s">
        <v>5</v>
      </c>
      <c r="Z49" t="s">
        <v>836</v>
      </c>
      <c r="AA49" t="s">
        <v>5</v>
      </c>
      <c r="AB49" t="s">
        <v>851</v>
      </c>
      <c r="AC49" t="s">
        <v>4</v>
      </c>
      <c r="AD49" s="2"/>
      <c r="AE49" s="2"/>
      <c r="AF49" t="s">
        <v>5</v>
      </c>
      <c r="AG49" t="s">
        <v>518</v>
      </c>
      <c r="AH49" t="s">
        <v>6</v>
      </c>
      <c r="AI49" s="22" t="s">
        <v>5</v>
      </c>
      <c r="AJ49" t="s">
        <v>483</v>
      </c>
      <c r="AK49" s="22" t="s">
        <v>3</v>
      </c>
      <c r="AL49" s="18" t="s">
        <v>5</v>
      </c>
      <c r="AM49" t="s">
        <v>492</v>
      </c>
      <c r="AN49" t="s">
        <v>3</v>
      </c>
      <c r="AO49" s="18" t="s">
        <v>570</v>
      </c>
    </row>
    <row r="50" spans="1:41" x14ac:dyDescent="0.2">
      <c r="A50" s="1" t="s">
        <v>127</v>
      </c>
      <c r="B50" s="1" t="s">
        <v>452</v>
      </c>
      <c r="C50" s="18" t="s">
        <v>172</v>
      </c>
      <c r="D50" s="19" t="s">
        <v>79</v>
      </c>
      <c r="E50" s="18" t="s">
        <v>372</v>
      </c>
      <c r="F50" s="18">
        <v>2001</v>
      </c>
      <c r="G50" s="18" t="s">
        <v>213</v>
      </c>
      <c r="H50" s="3" t="s">
        <v>279</v>
      </c>
      <c r="I50" s="21" t="s">
        <v>234</v>
      </c>
      <c r="J50" s="18" t="s">
        <v>293</v>
      </c>
      <c r="K50" s="18" t="s">
        <v>295</v>
      </c>
      <c r="L50" s="18" t="s">
        <v>689</v>
      </c>
      <c r="M50" s="18" t="s">
        <v>328</v>
      </c>
      <c r="N50" s="22" t="s">
        <v>219</v>
      </c>
      <c r="O50" s="18" t="s">
        <v>219</v>
      </c>
      <c r="P50" s="18" t="s">
        <v>219</v>
      </c>
      <c r="Q50" s="18" t="s">
        <v>219</v>
      </c>
      <c r="R50" s="22" t="s">
        <v>217</v>
      </c>
      <c r="S50" s="22" t="s">
        <v>4</v>
      </c>
      <c r="T50" s="39" t="s">
        <v>248</v>
      </c>
      <c r="U50" s="38" t="s">
        <v>248</v>
      </c>
      <c r="V50" t="str" cm="1">
        <f t="array" ref="V50">_xlfn.IFS(T50="Not Applicable", "Not Applicable", T50&lt;=3,"Low",T50&gt;=4, "High")</f>
        <v>Not Applicable</v>
      </c>
      <c r="W50" s="22" t="s">
        <v>4</v>
      </c>
      <c r="X50" s="22"/>
      <c r="Y50" s="22" t="s">
        <v>4</v>
      </c>
      <c r="Z50" s="22"/>
      <c r="AA50" s="22" t="s">
        <v>4</v>
      </c>
      <c r="AB50" s="22"/>
      <c r="AC50" s="22" t="s">
        <v>4</v>
      </c>
      <c r="AD50" s="38"/>
      <c r="AE50" s="38"/>
      <c r="AF50" t="s">
        <v>5</v>
      </c>
      <c r="AG50" t="s">
        <v>533</v>
      </c>
      <c r="AH50" t="s">
        <v>3</v>
      </c>
      <c r="AI50" s="22" t="s">
        <v>5</v>
      </c>
      <c r="AJ50" t="s">
        <v>476</v>
      </c>
      <c r="AK50" s="22" t="s">
        <v>3</v>
      </c>
      <c r="AL50" s="18" t="s">
        <v>5</v>
      </c>
      <c r="AM50" t="s">
        <v>493</v>
      </c>
      <c r="AN50" t="s">
        <v>3</v>
      </c>
      <c r="AO50" s="18" t="s">
        <v>571</v>
      </c>
    </row>
    <row r="51" spans="1:41" x14ac:dyDescent="0.2">
      <c r="A51" s="1" t="s">
        <v>128</v>
      </c>
      <c r="B51" s="1" t="s">
        <v>129</v>
      </c>
      <c r="C51" s="18" t="s">
        <v>564</v>
      </c>
      <c r="D51" s="19" t="s">
        <v>30</v>
      </c>
      <c r="E51" s="18" t="s">
        <v>373</v>
      </c>
      <c r="F51" s="18">
        <v>2022</v>
      </c>
      <c r="G51" s="18" t="s">
        <v>214</v>
      </c>
      <c r="H51" s="24" t="s">
        <v>288</v>
      </c>
      <c r="I51" s="21" t="s">
        <v>246</v>
      </c>
      <c r="J51" s="18" t="s">
        <v>293</v>
      </c>
      <c r="K51" s="18" t="s">
        <v>23</v>
      </c>
      <c r="L51" s="18" t="s">
        <v>728</v>
      </c>
      <c r="M51" s="18" t="s">
        <v>315</v>
      </c>
      <c r="N51" s="22" t="s">
        <v>729</v>
      </c>
      <c r="O51" s="18" t="s">
        <v>593</v>
      </c>
      <c r="P51" s="18"/>
      <c r="Q51" s="18" t="s">
        <v>219</v>
      </c>
      <c r="R51" s="22" t="s">
        <v>217</v>
      </c>
      <c r="S51" s="22" t="s">
        <v>5</v>
      </c>
      <c r="T51" s="39">
        <v>3</v>
      </c>
      <c r="U51" s="2" t="s">
        <v>777</v>
      </c>
      <c r="V51" t="str" cm="1">
        <f t="array" ref="V51">_xlfn.IFS(T51="Not Applicable", "Not Applicable", T51&lt;=3,"Low",T51&gt;=4, "High")</f>
        <v>Low</v>
      </c>
      <c r="W51" t="s">
        <v>4</v>
      </c>
      <c r="Y51" t="s">
        <v>4</v>
      </c>
      <c r="AA51" t="s">
        <v>4</v>
      </c>
      <c r="AC51" t="s">
        <v>4</v>
      </c>
      <c r="AD51" s="2"/>
      <c r="AE51" s="2"/>
      <c r="AF51" t="s">
        <v>5</v>
      </c>
      <c r="AG51" t="s">
        <v>527</v>
      </c>
      <c r="AH51" t="s">
        <v>3</v>
      </c>
      <c r="AI51" s="22" t="s">
        <v>5</v>
      </c>
      <c r="AJ51" t="s">
        <v>474</v>
      </c>
      <c r="AK51" s="22" t="s">
        <v>3</v>
      </c>
      <c r="AL51" s="18" t="s">
        <v>4</v>
      </c>
      <c r="AM51" t="s">
        <v>248</v>
      </c>
      <c r="AN51" t="s">
        <v>22</v>
      </c>
      <c r="AO51" s="18" t="s">
        <v>572</v>
      </c>
    </row>
    <row r="52" spans="1:41" x14ac:dyDescent="0.2">
      <c r="A52" s="1" t="s">
        <v>128</v>
      </c>
      <c r="B52" s="1" t="s">
        <v>130</v>
      </c>
      <c r="C52" s="18" t="s">
        <v>564</v>
      </c>
      <c r="D52" s="19" t="s">
        <v>31</v>
      </c>
      <c r="E52" s="18" t="s">
        <v>373</v>
      </c>
      <c r="F52" s="18">
        <v>2022</v>
      </c>
      <c r="G52" s="18" t="s">
        <v>214</v>
      </c>
      <c r="H52" s="24" t="s">
        <v>289</v>
      </c>
      <c r="I52" s="21" t="s">
        <v>246</v>
      </c>
      <c r="J52" s="18" t="s">
        <v>293</v>
      </c>
      <c r="K52" s="18" t="s">
        <v>10</v>
      </c>
      <c r="L52" s="18" t="s">
        <v>686</v>
      </c>
      <c r="M52" s="18" t="s">
        <v>305</v>
      </c>
      <c r="N52" s="22" t="s">
        <v>404</v>
      </c>
      <c r="O52" s="18" t="s">
        <v>594</v>
      </c>
      <c r="P52" s="18" t="s">
        <v>219</v>
      </c>
      <c r="Q52" s="18" t="s">
        <v>219</v>
      </c>
      <c r="R52" s="22" t="s">
        <v>4</v>
      </c>
      <c r="S52" s="22" t="s">
        <v>4</v>
      </c>
      <c r="T52" s="39" t="s">
        <v>248</v>
      </c>
      <c r="U52" s="2" t="s">
        <v>248</v>
      </c>
      <c r="V52" t="str" cm="1">
        <f t="array" ref="V52">_xlfn.IFS(T52="Not Applicable", "Not Applicable", T52&lt;=3,"Low",T52&gt;=4, "High")</f>
        <v>Not Applicable</v>
      </c>
      <c r="W52" t="s">
        <v>4</v>
      </c>
      <c r="Y52" t="s">
        <v>4</v>
      </c>
      <c r="AA52" t="s">
        <v>4</v>
      </c>
      <c r="AC52" t="s">
        <v>4</v>
      </c>
      <c r="AD52" s="2"/>
      <c r="AE52" s="2"/>
      <c r="AF52" t="s">
        <v>5</v>
      </c>
      <c r="AG52" t="s">
        <v>544</v>
      </c>
      <c r="AH52" t="s">
        <v>3</v>
      </c>
      <c r="AI52" s="22" t="s">
        <v>4</v>
      </c>
      <c r="AJ52" t="s">
        <v>248</v>
      </c>
      <c r="AK52" s="22" t="s">
        <v>248</v>
      </c>
      <c r="AL52" s="18" t="s">
        <v>5</v>
      </c>
      <c r="AM52" t="s">
        <v>503</v>
      </c>
      <c r="AN52" t="s">
        <v>3</v>
      </c>
      <c r="AO52" s="18" t="s">
        <v>572</v>
      </c>
    </row>
    <row r="53" spans="1:41" x14ac:dyDescent="0.2">
      <c r="A53" s="1" t="s">
        <v>176</v>
      </c>
      <c r="B53" s="1" t="s">
        <v>131</v>
      </c>
      <c r="C53" s="18" t="s">
        <v>173</v>
      </c>
      <c r="D53" s="19" t="s">
        <v>32</v>
      </c>
      <c r="E53" s="18" t="s">
        <v>374</v>
      </c>
      <c r="F53" s="18">
        <v>2023</v>
      </c>
      <c r="G53" s="18" t="s">
        <v>215</v>
      </c>
      <c r="H53" s="24" t="s">
        <v>270</v>
      </c>
      <c r="I53" s="21" t="s">
        <v>247</v>
      </c>
      <c r="J53" s="18" t="s">
        <v>293</v>
      </c>
      <c r="K53" s="18" t="s">
        <v>294</v>
      </c>
      <c r="L53" s="18" t="s">
        <v>750</v>
      </c>
      <c r="M53" s="18" t="s">
        <v>331</v>
      </c>
      <c r="N53" s="22" t="s">
        <v>743</v>
      </c>
      <c r="O53" s="18" t="s">
        <v>595</v>
      </c>
      <c r="P53" s="18" t="s">
        <v>621</v>
      </c>
      <c r="Q53" s="18" t="s">
        <v>219</v>
      </c>
      <c r="R53" s="22" t="s">
        <v>7</v>
      </c>
      <c r="S53" s="22" t="s">
        <v>7</v>
      </c>
      <c r="T53" s="39" t="s">
        <v>248</v>
      </c>
      <c r="U53" s="40" t="s">
        <v>248</v>
      </c>
      <c r="V53" t="str" cm="1">
        <f t="array" ref="V53">_xlfn.IFS(T53="Not Applicable", "Not Applicable", T53&lt;=3,"Low",T53&gt;=4, "High")</f>
        <v>Not Applicable</v>
      </c>
      <c r="W53" t="s">
        <v>4</v>
      </c>
      <c r="Y53" t="s">
        <v>4</v>
      </c>
      <c r="AA53" t="s">
        <v>4</v>
      </c>
      <c r="AC53" t="s">
        <v>4</v>
      </c>
      <c r="AD53" s="2"/>
      <c r="AE53" s="2"/>
      <c r="AF53" t="s">
        <v>5</v>
      </c>
      <c r="AG53" t="s">
        <v>545</v>
      </c>
      <c r="AH53" t="s">
        <v>3</v>
      </c>
      <c r="AI53" s="22" t="s">
        <v>5</v>
      </c>
      <c r="AJ53" t="s">
        <v>484</v>
      </c>
      <c r="AK53" s="22" t="s">
        <v>3</v>
      </c>
      <c r="AL53" s="18" t="s">
        <v>5</v>
      </c>
      <c r="AM53" t="s">
        <v>493</v>
      </c>
      <c r="AN53" t="s">
        <v>3</v>
      </c>
      <c r="AO53" s="18" t="s">
        <v>573</v>
      </c>
    </row>
    <row r="54" spans="1:41" x14ac:dyDescent="0.2">
      <c r="A54" s="1" t="s">
        <v>176</v>
      </c>
      <c r="B54" s="1" t="s">
        <v>132</v>
      </c>
      <c r="C54" s="18" t="s">
        <v>173</v>
      </c>
      <c r="D54" s="19" t="s">
        <v>33</v>
      </c>
      <c r="E54" s="18" t="s">
        <v>374</v>
      </c>
      <c r="F54" s="18">
        <v>2023</v>
      </c>
      <c r="G54" s="18" t="s">
        <v>215</v>
      </c>
      <c r="H54" s="24" t="s">
        <v>270</v>
      </c>
      <c r="I54" s="21" t="s">
        <v>247</v>
      </c>
      <c r="J54" s="18" t="s">
        <v>293</v>
      </c>
      <c r="K54" s="18" t="s">
        <v>10</v>
      </c>
      <c r="L54" s="18" t="s">
        <v>748</v>
      </c>
      <c r="M54" s="18" t="s">
        <v>332</v>
      </c>
      <c r="N54" s="22" t="s">
        <v>729</v>
      </c>
      <c r="O54" s="18" t="s">
        <v>596</v>
      </c>
      <c r="P54" s="18" t="s">
        <v>622</v>
      </c>
      <c r="Q54" s="18" t="s">
        <v>219</v>
      </c>
      <c r="R54" s="22" t="s">
        <v>7</v>
      </c>
      <c r="S54" s="22" t="s">
        <v>7</v>
      </c>
      <c r="T54" s="39" t="s">
        <v>248</v>
      </c>
      <c r="U54" s="40" t="s">
        <v>248</v>
      </c>
      <c r="V54" t="str" cm="1">
        <f t="array" ref="V54">_xlfn.IFS(T54="Not Applicable", "Not Applicable", T54&lt;=3,"Low",T54&gt;=4, "High")</f>
        <v>Not Applicable</v>
      </c>
      <c r="W54" t="s">
        <v>4</v>
      </c>
      <c r="Y54" t="s">
        <v>4</v>
      </c>
      <c r="AA54" t="s">
        <v>4</v>
      </c>
      <c r="AC54" t="s">
        <v>4</v>
      </c>
      <c r="AD54" s="2"/>
      <c r="AE54" s="2"/>
      <c r="AF54" t="s">
        <v>5</v>
      </c>
      <c r="AG54" t="s">
        <v>546</v>
      </c>
      <c r="AH54" t="s">
        <v>6</v>
      </c>
      <c r="AI54" s="22" t="s">
        <v>4</v>
      </c>
      <c r="AJ54" t="s">
        <v>248</v>
      </c>
      <c r="AK54" s="22" t="s">
        <v>248</v>
      </c>
      <c r="AL54" s="18" t="s">
        <v>5</v>
      </c>
      <c r="AM54" t="s">
        <v>504</v>
      </c>
      <c r="AN54" t="s">
        <v>3</v>
      </c>
      <c r="AO54" s="18" t="s">
        <v>573</v>
      </c>
    </row>
    <row r="55" spans="1:41" x14ac:dyDescent="0.2">
      <c r="A55" s="8" t="s">
        <v>176</v>
      </c>
      <c r="B55" s="1" t="s">
        <v>133</v>
      </c>
      <c r="C55" s="18" t="s">
        <v>173</v>
      </c>
      <c r="D55" s="19" t="s">
        <v>34</v>
      </c>
      <c r="E55" s="18" t="s">
        <v>374</v>
      </c>
      <c r="F55" s="18">
        <v>2023</v>
      </c>
      <c r="G55" s="18" t="s">
        <v>215</v>
      </c>
      <c r="H55" s="24" t="s">
        <v>270</v>
      </c>
      <c r="I55" s="21" t="s">
        <v>247</v>
      </c>
      <c r="J55" s="18" t="s">
        <v>293</v>
      </c>
      <c r="K55" s="18" t="s">
        <v>304</v>
      </c>
      <c r="L55" s="18" t="s">
        <v>749</v>
      </c>
      <c r="M55" s="18" t="s">
        <v>332</v>
      </c>
      <c r="N55" s="22" t="s">
        <v>729</v>
      </c>
      <c r="O55" s="18" t="s">
        <v>596</v>
      </c>
      <c r="P55" s="18" t="s">
        <v>622</v>
      </c>
      <c r="Q55" s="18" t="s">
        <v>219</v>
      </c>
      <c r="R55" s="22" t="s">
        <v>7</v>
      </c>
      <c r="S55" s="22" t="s">
        <v>7</v>
      </c>
      <c r="T55" s="39" t="s">
        <v>248</v>
      </c>
      <c r="U55" s="40" t="s">
        <v>248</v>
      </c>
      <c r="V55" t="str" cm="1">
        <f t="array" ref="V55">_xlfn.IFS(T55="Not Applicable", "Not Applicable", T55&lt;=3,"Low",T55&gt;=4, "High")</f>
        <v>Not Applicable</v>
      </c>
      <c r="W55" t="s">
        <v>4</v>
      </c>
      <c r="Y55" t="s">
        <v>4</v>
      </c>
      <c r="AA55" t="s">
        <v>4</v>
      </c>
      <c r="AC55" t="s">
        <v>4</v>
      </c>
      <c r="AD55" s="2"/>
      <c r="AE55" s="2"/>
      <c r="AF55" t="s">
        <v>5</v>
      </c>
      <c r="AG55" t="s">
        <v>547</v>
      </c>
      <c r="AH55" t="s">
        <v>6</v>
      </c>
      <c r="AI55" s="22" t="s">
        <v>4</v>
      </c>
      <c r="AJ55" t="s">
        <v>248</v>
      </c>
      <c r="AK55" s="22" t="s">
        <v>248</v>
      </c>
      <c r="AL55" s="18" t="s">
        <v>4</v>
      </c>
      <c r="AM55" t="s">
        <v>248</v>
      </c>
      <c r="AN55" t="s">
        <v>22</v>
      </c>
      <c r="AO55" s="18" t="s">
        <v>573</v>
      </c>
    </row>
    <row r="56" spans="1:41" x14ac:dyDescent="0.2">
      <c r="A56" s="8" t="s">
        <v>134</v>
      </c>
      <c r="B56" s="1" t="s">
        <v>453</v>
      </c>
      <c r="C56" s="18" t="s">
        <v>174</v>
      </c>
      <c r="D56" s="19" t="s">
        <v>80</v>
      </c>
      <c r="E56" s="18" t="s">
        <v>375</v>
      </c>
      <c r="F56" s="18">
        <v>2024</v>
      </c>
      <c r="G56" s="18" t="s">
        <v>216</v>
      </c>
      <c r="H56" s="24" t="s">
        <v>271</v>
      </c>
      <c r="I56" s="21" t="s">
        <v>244</v>
      </c>
      <c r="J56" s="18" t="s">
        <v>293</v>
      </c>
      <c r="K56" s="18" t="s">
        <v>294</v>
      </c>
      <c r="L56" s="18" t="s">
        <v>730</v>
      </c>
      <c r="M56" s="18" t="s">
        <v>330</v>
      </c>
      <c r="N56" s="22" t="s">
        <v>219</v>
      </c>
      <c r="O56" s="18" t="s">
        <v>219</v>
      </c>
      <c r="P56" s="18" t="s">
        <v>219</v>
      </c>
      <c r="Q56" s="18" t="s">
        <v>643</v>
      </c>
      <c r="R56" s="22" t="s">
        <v>7</v>
      </c>
      <c r="S56" s="22" t="s">
        <v>4</v>
      </c>
      <c r="T56" s="39" t="s">
        <v>248</v>
      </c>
      <c r="U56" s="2" t="s">
        <v>248</v>
      </c>
      <c r="V56" t="str" cm="1">
        <f t="array" ref="V56">_xlfn.IFS(T56="Not Applicable", "Not Applicable", T56&lt;=3,"Low",T56&gt;=4, "High")</f>
        <v>Not Applicable</v>
      </c>
      <c r="W56" t="s">
        <v>4</v>
      </c>
      <c r="Y56" t="s">
        <v>4</v>
      </c>
      <c r="AA56" t="s">
        <v>4</v>
      </c>
      <c r="AC56" t="s">
        <v>4</v>
      </c>
      <c r="AD56" s="2"/>
      <c r="AE56" s="2"/>
      <c r="AF56" s="18" t="s">
        <v>5</v>
      </c>
      <c r="AG56" t="s">
        <v>541</v>
      </c>
      <c r="AH56" t="s">
        <v>6</v>
      </c>
      <c r="AI56" s="22" t="s">
        <v>4</v>
      </c>
      <c r="AJ56" t="s">
        <v>248</v>
      </c>
      <c r="AK56" s="22" t="s">
        <v>248</v>
      </c>
      <c r="AL56" s="18" t="s">
        <v>4</v>
      </c>
      <c r="AM56" t="s">
        <v>248</v>
      </c>
      <c r="AN56" t="s">
        <v>22</v>
      </c>
      <c r="AO56" s="18" t="s">
        <v>571</v>
      </c>
    </row>
    <row r="57" spans="1:41" x14ac:dyDescent="0.2">
      <c r="A57" s="8"/>
      <c r="B57" s="8"/>
      <c r="C57" s="9"/>
      <c r="D57" s="5"/>
      <c r="I57" s="9"/>
      <c r="J57" s="9"/>
      <c r="K57" s="9"/>
      <c r="M57" s="9"/>
      <c r="T57" s="41"/>
      <c r="U57" s="2"/>
      <c r="AD57" s="2"/>
      <c r="AE57" s="2"/>
    </row>
    <row r="58" spans="1:41" x14ac:dyDescent="0.2">
      <c r="A58" s="2"/>
      <c r="B58" s="8"/>
      <c r="C58" s="9"/>
      <c r="D58" s="5"/>
      <c r="I58" s="9"/>
      <c r="J58" s="9"/>
      <c r="K58" s="9"/>
      <c r="M58" s="9"/>
      <c r="T58" s="12"/>
      <c r="AD58" s="2"/>
      <c r="AE58" s="2"/>
    </row>
    <row r="59" spans="1:41" x14ac:dyDescent="0.2">
      <c r="A59" s="2"/>
      <c r="B59" s="8"/>
      <c r="C59" s="9"/>
      <c r="D59" s="5"/>
      <c r="I59" s="9"/>
      <c r="J59" s="9"/>
      <c r="K59" s="9"/>
      <c r="M59" s="9"/>
      <c r="T59" s="12"/>
      <c r="AD59" s="2"/>
      <c r="AE59" s="2"/>
    </row>
    <row r="60" spans="1:41" x14ac:dyDescent="0.2">
      <c r="A60" s="2"/>
      <c r="B60" s="8"/>
      <c r="C60" s="9"/>
      <c r="D60" s="5"/>
      <c r="I60" s="9"/>
      <c r="J60" s="9"/>
      <c r="K60" s="9"/>
      <c r="M60" s="9"/>
      <c r="T60" s="12"/>
      <c r="AD60" s="2"/>
      <c r="AE60" s="2"/>
    </row>
    <row r="61" spans="1:41" x14ac:dyDescent="0.2">
      <c r="A61" s="1"/>
      <c r="B61" s="8"/>
      <c r="C61" s="9"/>
      <c r="D61" s="5"/>
      <c r="I61" s="9"/>
      <c r="J61" s="9"/>
      <c r="K61" s="9"/>
      <c r="M61" s="9"/>
      <c r="T61" s="12"/>
      <c r="AD61" s="2"/>
      <c r="AE61" s="2"/>
    </row>
    <row r="62" spans="1:41" x14ac:dyDescent="0.2">
      <c r="A62" s="8"/>
      <c r="D62" s="5"/>
      <c r="T62" s="12"/>
      <c r="AD62" s="2"/>
      <c r="AE62" s="2"/>
    </row>
    <row r="63" spans="1:41" x14ac:dyDescent="0.2">
      <c r="A63" s="8"/>
      <c r="B63" s="8"/>
      <c r="C63" s="9"/>
      <c r="D63" s="5"/>
      <c r="I63" s="9"/>
      <c r="J63" s="9"/>
      <c r="K63" s="9"/>
      <c r="M63" s="9"/>
      <c r="T63" s="12"/>
      <c r="AD63" s="2"/>
      <c r="AE63" s="2"/>
    </row>
    <row r="64" spans="1:41" x14ac:dyDescent="0.2">
      <c r="A64" s="1"/>
      <c r="D64" s="5"/>
      <c r="T64" s="12"/>
      <c r="AD64" s="2"/>
      <c r="AE64" s="2"/>
    </row>
    <row r="65" spans="1:31" x14ac:dyDescent="0.2">
      <c r="A65" s="8"/>
      <c r="B65" s="8"/>
      <c r="C65" s="9"/>
      <c r="D65" s="5"/>
      <c r="I65" s="9"/>
      <c r="J65" s="9"/>
      <c r="K65" s="9"/>
      <c r="M65" s="9"/>
      <c r="T65" s="12"/>
      <c r="AD65" s="2"/>
      <c r="AE65" s="2"/>
    </row>
    <row r="66" spans="1:31" x14ac:dyDescent="0.2">
      <c r="A66" s="8"/>
      <c r="D66" s="5"/>
      <c r="T66" s="12"/>
      <c r="AD66" s="2"/>
      <c r="AE66" s="2"/>
    </row>
    <row r="67" spans="1:31" x14ac:dyDescent="0.2">
      <c r="A67" s="8"/>
      <c r="B67" s="8"/>
      <c r="C67" s="9"/>
      <c r="D67" s="5"/>
      <c r="I67" s="9"/>
      <c r="J67" s="9"/>
      <c r="K67" s="9"/>
      <c r="M67" s="9"/>
      <c r="T67" s="12"/>
      <c r="AD67" s="2"/>
      <c r="AE67" s="2"/>
    </row>
    <row r="68" spans="1:31" x14ac:dyDescent="0.2">
      <c r="A68" s="8"/>
      <c r="D68" s="5"/>
      <c r="T68" s="12"/>
      <c r="AD68" s="2"/>
      <c r="AE68" s="2"/>
    </row>
    <row r="69" spans="1:31" x14ac:dyDescent="0.2">
      <c r="A69" s="8"/>
      <c r="B69" s="8"/>
      <c r="C69" s="9"/>
      <c r="D69" s="5"/>
      <c r="I69" s="9"/>
      <c r="J69" s="9"/>
      <c r="K69" s="9"/>
      <c r="M69" s="9"/>
      <c r="T69" s="12"/>
      <c r="AD69" s="2"/>
      <c r="AE69" s="2"/>
    </row>
    <row r="70" spans="1:31" x14ac:dyDescent="0.2">
      <c r="A70" s="8"/>
      <c r="B70" s="8"/>
      <c r="C70" s="9"/>
      <c r="D70" s="5"/>
      <c r="I70" s="9"/>
      <c r="J70" s="9"/>
      <c r="K70" s="9"/>
      <c r="M70" s="9"/>
      <c r="T70" s="12"/>
      <c r="AD70" s="2"/>
      <c r="AE70" s="2"/>
    </row>
    <row r="71" spans="1:31" x14ac:dyDescent="0.2">
      <c r="A71" s="8"/>
      <c r="B71" s="8"/>
      <c r="C71" s="9"/>
      <c r="D71" s="5"/>
      <c r="I71" s="9"/>
      <c r="J71" s="9"/>
      <c r="K71" s="9"/>
      <c r="M71" s="9"/>
      <c r="T71" s="12"/>
      <c r="AD71" s="2"/>
      <c r="AE71" s="2"/>
    </row>
    <row r="72" spans="1:31" x14ac:dyDescent="0.2">
      <c r="A72" s="8"/>
      <c r="B72" s="8"/>
      <c r="C72" s="9"/>
      <c r="D72" s="5"/>
      <c r="I72" s="9"/>
      <c r="J72" s="9"/>
      <c r="K72" s="9"/>
      <c r="M72" s="9"/>
      <c r="T72" s="12"/>
      <c r="AD72" s="2"/>
      <c r="AE72" s="2"/>
    </row>
    <row r="73" spans="1:31" x14ac:dyDescent="0.2">
      <c r="A73" s="8"/>
      <c r="B73" s="8"/>
      <c r="C73" s="9"/>
      <c r="D73" s="5"/>
      <c r="I73" s="9"/>
      <c r="J73" s="9"/>
      <c r="K73" s="9"/>
      <c r="M73" s="9"/>
      <c r="T73" s="12"/>
      <c r="AD73" s="2"/>
      <c r="AE73" s="2"/>
    </row>
    <row r="74" spans="1:31" x14ac:dyDescent="0.2">
      <c r="A74" s="8"/>
      <c r="B74" s="8"/>
      <c r="C74" s="9"/>
      <c r="D74" s="5"/>
      <c r="I74" s="9"/>
      <c r="J74" s="9"/>
      <c r="K74" s="9"/>
      <c r="M74" s="9"/>
      <c r="T74" s="12"/>
      <c r="AD74" s="2"/>
      <c r="AE74" s="2"/>
    </row>
    <row r="75" spans="1:31" x14ac:dyDescent="0.2">
      <c r="A75" s="8"/>
      <c r="B75" s="8"/>
      <c r="C75" s="9"/>
      <c r="D75" s="5"/>
      <c r="I75" s="9"/>
      <c r="J75" s="9"/>
      <c r="K75" s="9"/>
      <c r="M75" s="9"/>
      <c r="T75" s="12"/>
      <c r="AD75" s="2"/>
      <c r="AE75" s="2"/>
    </row>
    <row r="76" spans="1:31" x14ac:dyDescent="0.2">
      <c r="A76" s="8"/>
      <c r="B76" s="8"/>
      <c r="C76" s="9"/>
      <c r="D76" s="5"/>
      <c r="I76" s="9"/>
      <c r="J76" s="9"/>
      <c r="K76" s="9"/>
      <c r="M76" s="9"/>
      <c r="T76" s="12"/>
      <c r="AD76" s="2"/>
      <c r="AE76" s="2"/>
    </row>
    <row r="77" spans="1:31" x14ac:dyDescent="0.2">
      <c r="A77" s="8"/>
      <c r="B77" s="8"/>
      <c r="C77" s="9"/>
      <c r="D77" s="5"/>
      <c r="I77" s="9"/>
      <c r="J77" s="9"/>
      <c r="K77" s="9"/>
      <c r="M77" s="9"/>
      <c r="T77" s="12"/>
      <c r="AD77" s="2"/>
      <c r="AE77" s="2"/>
    </row>
    <row r="78" spans="1:31" x14ac:dyDescent="0.2">
      <c r="A78" s="8"/>
      <c r="B78" s="8"/>
      <c r="C78" s="9"/>
      <c r="D78" s="5"/>
      <c r="I78" s="9"/>
      <c r="J78" s="9"/>
      <c r="K78" s="9"/>
      <c r="M78" s="9"/>
      <c r="T78" s="12"/>
      <c r="AD78" s="2"/>
      <c r="AE78" s="2"/>
    </row>
    <row r="79" spans="1:31" x14ac:dyDescent="0.2">
      <c r="A79" s="8"/>
      <c r="B79" s="8"/>
      <c r="C79" s="9"/>
      <c r="D79" s="5"/>
      <c r="I79" s="9"/>
      <c r="J79" s="9"/>
      <c r="K79" s="9"/>
      <c r="M79" s="9"/>
      <c r="T79" s="12"/>
      <c r="AD79" s="2"/>
      <c r="AE79" s="2"/>
    </row>
    <row r="80" spans="1:31" x14ac:dyDescent="0.2">
      <c r="A80" s="8"/>
      <c r="B80" s="8"/>
      <c r="C80" s="9"/>
      <c r="D80" s="5"/>
      <c r="I80" s="9"/>
      <c r="J80" s="9"/>
      <c r="K80" s="9"/>
      <c r="M80" s="9"/>
      <c r="T80" s="12"/>
      <c r="AD80" s="2"/>
      <c r="AE80" s="2"/>
    </row>
    <row r="81" spans="1:31" x14ac:dyDescent="0.2">
      <c r="A81" s="8"/>
      <c r="B81" s="8"/>
      <c r="C81" s="9"/>
      <c r="D81" s="5"/>
      <c r="I81" s="9"/>
      <c r="J81" s="9"/>
      <c r="K81" s="9"/>
      <c r="M81" s="9"/>
      <c r="T81" s="12"/>
      <c r="AD81" s="2"/>
      <c r="AE81" s="2"/>
    </row>
    <row r="82" spans="1:31" x14ac:dyDescent="0.2">
      <c r="A82" s="8"/>
      <c r="B82" s="8"/>
      <c r="C82" s="9"/>
      <c r="D82" s="5"/>
      <c r="I82" s="9"/>
      <c r="J82" s="9"/>
      <c r="K82" s="9"/>
      <c r="M82" s="9"/>
      <c r="T82" s="12"/>
      <c r="AD82" s="2"/>
      <c r="AE82" s="2"/>
    </row>
    <row r="83" spans="1:31" x14ac:dyDescent="0.2">
      <c r="A83" s="8"/>
      <c r="B83" s="8"/>
      <c r="C83" s="9"/>
      <c r="D83" s="5"/>
      <c r="I83" s="9"/>
      <c r="J83" s="9"/>
      <c r="K83" s="9"/>
      <c r="M83" s="9"/>
      <c r="T83" s="12"/>
      <c r="AD83" s="2"/>
      <c r="AE83" s="2"/>
    </row>
    <row r="84" spans="1:31" x14ac:dyDescent="0.2">
      <c r="A84" s="8"/>
      <c r="B84" s="8"/>
      <c r="C84" s="9"/>
      <c r="D84" s="5"/>
      <c r="I84" s="9"/>
      <c r="J84" s="9"/>
      <c r="K84" s="9"/>
      <c r="M84" s="9"/>
      <c r="T84" s="12"/>
      <c r="AD84" s="2"/>
      <c r="AE84" s="2"/>
    </row>
    <row r="85" spans="1:31" x14ac:dyDescent="0.2">
      <c r="A85" s="8"/>
      <c r="B85" s="8"/>
      <c r="C85" s="9"/>
      <c r="D85" s="5"/>
      <c r="I85" s="9"/>
      <c r="J85" s="9"/>
      <c r="K85" s="9"/>
      <c r="M85" s="9"/>
      <c r="T85" s="12"/>
      <c r="AD85" s="2"/>
      <c r="AE85" s="2"/>
    </row>
    <row r="86" spans="1:31" x14ac:dyDescent="0.2">
      <c r="A86" s="8"/>
      <c r="B86" s="8"/>
      <c r="C86" s="9"/>
      <c r="D86" s="5"/>
      <c r="I86" s="9"/>
      <c r="J86" s="9"/>
      <c r="K86" s="9"/>
      <c r="M86" s="9"/>
      <c r="T86" s="12"/>
      <c r="AD86" s="2"/>
      <c r="AE86" s="2"/>
    </row>
    <row r="87" spans="1:31" x14ac:dyDescent="0.2">
      <c r="A87" s="8"/>
      <c r="B87" s="8"/>
      <c r="C87" s="9"/>
      <c r="D87" s="5"/>
      <c r="I87" s="9"/>
      <c r="J87" s="9"/>
      <c r="K87" s="9"/>
      <c r="M87" s="9"/>
      <c r="T87" s="12"/>
      <c r="AD87" s="2"/>
      <c r="AE87" s="2"/>
    </row>
    <row r="88" spans="1:31" x14ac:dyDescent="0.2">
      <c r="A88" s="8"/>
      <c r="B88" s="8"/>
      <c r="C88" s="9"/>
      <c r="D88" s="5"/>
      <c r="I88" s="9"/>
      <c r="J88" s="9"/>
      <c r="K88" s="9"/>
      <c r="M88" s="9"/>
      <c r="T88" s="12"/>
      <c r="AD88" s="2"/>
      <c r="AE88" s="2"/>
    </row>
    <row r="89" spans="1:31" x14ac:dyDescent="0.2">
      <c r="A89" s="8"/>
      <c r="B89" s="8"/>
      <c r="C89" s="9"/>
      <c r="D89" s="5"/>
      <c r="I89" s="9"/>
      <c r="J89" s="9"/>
      <c r="K89" s="9"/>
      <c r="M89" s="9"/>
      <c r="T89" s="12"/>
      <c r="AD89" s="2"/>
      <c r="AE89" s="2"/>
    </row>
    <row r="90" spans="1:31" x14ac:dyDescent="0.2">
      <c r="A90" s="8"/>
      <c r="B90" s="8"/>
      <c r="C90" s="9"/>
      <c r="D90" s="5"/>
      <c r="I90" s="9"/>
      <c r="J90" s="9"/>
      <c r="K90" s="9"/>
      <c r="M90" s="9"/>
      <c r="T90" s="12"/>
      <c r="AD90" s="2"/>
      <c r="AE90" s="2"/>
    </row>
    <row r="91" spans="1:31" x14ac:dyDescent="0.2">
      <c r="A91" s="8"/>
      <c r="B91" s="8"/>
      <c r="C91" s="9"/>
      <c r="D91" s="5"/>
      <c r="I91" s="9"/>
      <c r="J91" s="9"/>
      <c r="K91" s="9"/>
      <c r="M91" s="9"/>
      <c r="T91" s="12"/>
      <c r="AD91" s="2"/>
      <c r="AE91" s="2"/>
    </row>
    <row r="92" spans="1:31" x14ac:dyDescent="0.2">
      <c r="A92" s="8"/>
      <c r="B92" s="8"/>
      <c r="C92" s="9"/>
      <c r="D92" s="5"/>
      <c r="I92" s="9"/>
      <c r="J92" s="9"/>
      <c r="K92" s="9"/>
      <c r="M92" s="9"/>
      <c r="T92" s="12"/>
      <c r="AD92" s="2"/>
      <c r="AE92" s="2"/>
    </row>
    <row r="93" spans="1:31" x14ac:dyDescent="0.2">
      <c r="A93" s="8"/>
      <c r="B93" s="8"/>
      <c r="C93" s="9"/>
      <c r="D93" s="5"/>
      <c r="I93" s="9"/>
      <c r="J93" s="9"/>
      <c r="K93" s="9"/>
      <c r="M93" s="9"/>
      <c r="T93" s="12"/>
      <c r="AD93" s="2"/>
      <c r="AE93" s="2"/>
    </row>
    <row r="94" spans="1:31" x14ac:dyDescent="0.2">
      <c r="A94" s="8"/>
      <c r="B94" s="8"/>
      <c r="C94" s="9"/>
      <c r="D94" s="5"/>
      <c r="I94" s="9"/>
      <c r="J94" s="9"/>
      <c r="K94" s="9"/>
      <c r="M94" s="9"/>
      <c r="T94" s="12"/>
      <c r="AD94" s="2"/>
      <c r="AE94" s="2"/>
    </row>
    <row r="95" spans="1:31" x14ac:dyDescent="0.2">
      <c r="A95" s="8"/>
      <c r="B95" s="8"/>
      <c r="C95" s="9"/>
      <c r="D95" s="5"/>
      <c r="I95" s="9"/>
      <c r="J95" s="9"/>
      <c r="K95" s="9"/>
      <c r="M95" s="9"/>
      <c r="T95" s="12"/>
      <c r="AD95" s="2"/>
      <c r="AE95" s="2"/>
    </row>
    <row r="96" spans="1:31" x14ac:dyDescent="0.2">
      <c r="A96" s="8"/>
      <c r="B96" s="8"/>
      <c r="C96" s="9"/>
      <c r="D96" s="5"/>
      <c r="I96" s="9"/>
      <c r="J96" s="9"/>
      <c r="K96" s="9"/>
      <c r="M96" s="9"/>
      <c r="T96" s="12"/>
      <c r="AD96" s="2"/>
      <c r="AE96" s="2"/>
    </row>
    <row r="97" spans="1:31" x14ac:dyDescent="0.2">
      <c r="A97" s="1"/>
      <c r="B97" s="8"/>
      <c r="C97" s="9"/>
      <c r="D97" s="5"/>
      <c r="I97" s="9"/>
      <c r="J97" s="9"/>
      <c r="K97" s="9"/>
      <c r="M97" s="9"/>
      <c r="T97" s="12"/>
      <c r="AD97" s="2"/>
      <c r="AE97" s="2"/>
    </row>
    <row r="98" spans="1:31" x14ac:dyDescent="0.2">
      <c r="A98" s="1"/>
      <c r="B98" s="8"/>
      <c r="C98" s="9"/>
      <c r="D98" s="5"/>
      <c r="I98" s="9"/>
      <c r="J98" s="9"/>
      <c r="K98" s="9"/>
      <c r="M98" s="9"/>
      <c r="T98" s="12"/>
      <c r="AD98" s="2"/>
      <c r="AE98" s="2"/>
    </row>
    <row r="99" spans="1:31" x14ac:dyDescent="0.2">
      <c r="A99" s="1"/>
      <c r="B99" s="8"/>
      <c r="C99" s="10"/>
      <c r="D99" s="5"/>
      <c r="I99" s="10"/>
      <c r="J99" s="10"/>
      <c r="K99" s="10"/>
      <c r="M99" s="10"/>
      <c r="T99" s="12"/>
      <c r="AD99" s="2"/>
      <c r="AE99" s="2"/>
    </row>
    <row r="100" spans="1:31" x14ac:dyDescent="0.2">
      <c r="A100" s="1"/>
      <c r="D100" s="5"/>
      <c r="T100" s="12"/>
      <c r="AD100" s="2"/>
      <c r="AE100" s="2"/>
    </row>
    <row r="101" spans="1:31" x14ac:dyDescent="0.2">
      <c r="A101" s="1"/>
      <c r="D101" s="5"/>
      <c r="T101" s="12"/>
      <c r="AD101" s="2"/>
      <c r="AE101" s="2"/>
    </row>
    <row r="102" spans="1:31" x14ac:dyDescent="0.2">
      <c r="A102" s="1"/>
      <c r="D102" s="5"/>
      <c r="AD102" s="2"/>
      <c r="AE102" s="2"/>
    </row>
    <row r="103" spans="1:31" x14ac:dyDescent="0.2">
      <c r="A103" s="1"/>
      <c r="D103" s="5"/>
      <c r="AD103" s="2"/>
      <c r="AE103" s="2"/>
    </row>
    <row r="104" spans="1:31" x14ac:dyDescent="0.2">
      <c r="A104" s="1"/>
      <c r="D104" s="5"/>
      <c r="AD104" s="2"/>
      <c r="AE104" s="2"/>
    </row>
    <row r="105" spans="1:31" x14ac:dyDescent="0.2">
      <c r="A105" s="1"/>
      <c r="B105" s="8"/>
      <c r="C105" s="10"/>
      <c r="D105" s="5"/>
      <c r="I105" s="10"/>
      <c r="J105" s="10"/>
      <c r="K105" s="10"/>
      <c r="M105" s="10"/>
      <c r="AD105" s="2"/>
      <c r="AE105" s="2"/>
    </row>
    <row r="106" spans="1:31" x14ac:dyDescent="0.2">
      <c r="A106" s="1"/>
      <c r="B106" s="8"/>
      <c r="C106" s="10"/>
      <c r="D106" s="5"/>
      <c r="I106" s="10"/>
      <c r="J106" s="10"/>
      <c r="K106" s="10"/>
      <c r="M106" s="10"/>
    </row>
    <row r="107" spans="1:31" x14ac:dyDescent="0.2">
      <c r="A107" s="1"/>
      <c r="B107" s="8"/>
      <c r="C107" s="10"/>
      <c r="D107" s="5"/>
      <c r="I107" s="10"/>
      <c r="J107" s="10"/>
      <c r="K107" s="10"/>
      <c r="M107" s="10"/>
    </row>
    <row r="108" spans="1:31" x14ac:dyDescent="0.2">
      <c r="A108" s="1"/>
      <c r="B108" s="8"/>
      <c r="C108" s="10"/>
      <c r="D108" s="5"/>
      <c r="I108" s="9"/>
      <c r="J108" s="9"/>
      <c r="K108" s="9"/>
      <c r="M108" s="9"/>
    </row>
    <row r="109" spans="1:31" x14ac:dyDescent="0.2">
      <c r="A109" s="1"/>
      <c r="B109" s="8"/>
      <c r="C109" s="10"/>
      <c r="D109" s="5"/>
      <c r="I109" s="10"/>
      <c r="J109" s="10"/>
      <c r="K109" s="10"/>
      <c r="M109" s="10"/>
    </row>
    <row r="110" spans="1:31" x14ac:dyDescent="0.2">
      <c r="B110" s="8"/>
      <c r="C110" s="10"/>
      <c r="D110" s="5"/>
      <c r="I110" s="10"/>
      <c r="J110" s="10"/>
      <c r="K110" s="10"/>
      <c r="M110" s="10"/>
    </row>
    <row r="111" spans="1:31" x14ac:dyDescent="0.2">
      <c r="B111" s="8"/>
      <c r="C111" s="10"/>
      <c r="D111" s="5"/>
      <c r="I111" s="10"/>
      <c r="J111" s="10"/>
      <c r="K111" s="10"/>
      <c r="M111" s="10"/>
    </row>
    <row r="112" spans="1:31" x14ac:dyDescent="0.2">
      <c r="B112" s="8"/>
      <c r="C112" s="10"/>
      <c r="D112" s="5"/>
      <c r="I112" s="10"/>
      <c r="J112" s="10"/>
      <c r="K112" s="10"/>
      <c r="M112" s="10"/>
    </row>
    <row r="113" spans="2:13" x14ac:dyDescent="0.2">
      <c r="B113" s="8"/>
      <c r="C113" s="10"/>
      <c r="D113" s="5"/>
      <c r="I113" s="10"/>
      <c r="J113" s="10"/>
      <c r="K113" s="10"/>
      <c r="M113" s="10"/>
    </row>
    <row r="114" spans="2:13" x14ac:dyDescent="0.2">
      <c r="B114" s="8"/>
      <c r="C114" s="10"/>
      <c r="D114" s="5"/>
      <c r="I114" s="10"/>
      <c r="J114" s="10"/>
      <c r="K114" s="10"/>
      <c r="M114" s="10"/>
    </row>
    <row r="115" spans="2:13" x14ac:dyDescent="0.2">
      <c r="B115" s="8"/>
      <c r="C115" s="10"/>
      <c r="D115" s="5"/>
      <c r="I115" s="10"/>
      <c r="J115" s="10"/>
      <c r="K115" s="10"/>
      <c r="M115" s="10"/>
    </row>
    <row r="116" spans="2:13" x14ac:dyDescent="0.2">
      <c r="B116" s="8"/>
      <c r="C116" s="10"/>
      <c r="D116" s="5"/>
      <c r="I116" s="10"/>
      <c r="J116" s="10"/>
      <c r="K116" s="10"/>
      <c r="M116" s="10"/>
    </row>
    <row r="117" spans="2:13" x14ac:dyDescent="0.2">
      <c r="B117" s="8"/>
      <c r="C117" s="10"/>
      <c r="D117" s="5"/>
      <c r="I117" s="10"/>
      <c r="J117" s="10"/>
      <c r="K117" s="10"/>
      <c r="M117" s="10"/>
    </row>
    <row r="118" spans="2:13" x14ac:dyDescent="0.2">
      <c r="B118" s="8"/>
      <c r="C118" s="10"/>
      <c r="D118" s="5"/>
      <c r="I118" s="10"/>
      <c r="J118" s="10"/>
      <c r="K118" s="10"/>
      <c r="M118" s="10"/>
    </row>
    <row r="119" spans="2:13" x14ac:dyDescent="0.2">
      <c r="B119" s="8"/>
      <c r="C119" s="10"/>
      <c r="D119" s="5"/>
      <c r="I119" s="10"/>
      <c r="J119" s="10"/>
      <c r="K119" s="10"/>
      <c r="M119" s="10"/>
    </row>
    <row r="120" spans="2:13" x14ac:dyDescent="0.2">
      <c r="B120" s="8"/>
      <c r="C120" s="10"/>
      <c r="D120" s="5"/>
      <c r="I120" s="10"/>
      <c r="J120" s="10"/>
      <c r="K120" s="10"/>
      <c r="M120" s="10"/>
    </row>
    <row r="121" spans="2:13" x14ac:dyDescent="0.2">
      <c r="D121" s="5"/>
    </row>
    <row r="122" spans="2:13" x14ac:dyDescent="0.2">
      <c r="D122" s="5"/>
    </row>
    <row r="123" spans="2:13" x14ac:dyDescent="0.2">
      <c r="D123" s="5"/>
    </row>
    <row r="124" spans="2:13" x14ac:dyDescent="0.2">
      <c r="D124" s="5"/>
    </row>
    <row r="125" spans="2:13" x14ac:dyDescent="0.2">
      <c r="D125" s="5"/>
    </row>
    <row r="126" spans="2:13" x14ac:dyDescent="0.2">
      <c r="D126" s="5"/>
    </row>
    <row r="127" spans="2:13" x14ac:dyDescent="0.2">
      <c r="D127" s="5"/>
    </row>
    <row r="128" spans="2:13" x14ac:dyDescent="0.2">
      <c r="D128" s="5"/>
    </row>
    <row r="129" spans="4:4" x14ac:dyDescent="0.2">
      <c r="D129" s="5"/>
    </row>
    <row r="130" spans="4:4" x14ac:dyDescent="0.2">
      <c r="D130" s="5"/>
    </row>
    <row r="131" spans="4:4" x14ac:dyDescent="0.2">
      <c r="D131" s="5"/>
    </row>
    <row r="132" spans="4:4" x14ac:dyDescent="0.2">
      <c r="D132" s="5"/>
    </row>
    <row r="133" spans="4:4" x14ac:dyDescent="0.2">
      <c r="D133" s="5"/>
    </row>
    <row r="134" spans="4:4" x14ac:dyDescent="0.2">
      <c r="D134" s="5"/>
    </row>
    <row r="135" spans="4:4" x14ac:dyDescent="0.2">
      <c r="D135" s="5"/>
    </row>
    <row r="136" spans="4:4" x14ac:dyDescent="0.2">
      <c r="D136" s="5"/>
    </row>
    <row r="137" spans="4:4" x14ac:dyDescent="0.2">
      <c r="D137" s="5"/>
    </row>
    <row r="138" spans="4:4" x14ac:dyDescent="0.2">
      <c r="D138" s="5"/>
    </row>
    <row r="139" spans="4:4" x14ac:dyDescent="0.2">
      <c r="D139" s="5"/>
    </row>
    <row r="140" spans="4:4" x14ac:dyDescent="0.2">
      <c r="D140" s="5"/>
    </row>
    <row r="141" spans="4:4" x14ac:dyDescent="0.2">
      <c r="D141" s="5"/>
    </row>
    <row r="142" spans="4:4" x14ac:dyDescent="0.2">
      <c r="D142" s="5"/>
    </row>
    <row r="143" spans="4:4" x14ac:dyDescent="0.2">
      <c r="D143" s="5"/>
    </row>
    <row r="144" spans="4:4" x14ac:dyDescent="0.2">
      <c r="D144" s="5"/>
    </row>
  </sheetData>
  <mergeCells count="33">
    <mergeCell ref="N1:AD1"/>
    <mergeCell ref="W2:X2"/>
    <mergeCell ref="AA2:AB2"/>
    <mergeCell ref="Y2:Z2"/>
    <mergeCell ref="O2:O3"/>
    <mergeCell ref="P2:P3"/>
    <mergeCell ref="R2:R3"/>
    <mergeCell ref="N2:N3"/>
    <mergeCell ref="AC2:AE2"/>
    <mergeCell ref="S2:V2"/>
    <mergeCell ref="AF2:AH2"/>
    <mergeCell ref="Q2:Q3"/>
    <mergeCell ref="J2:J3"/>
    <mergeCell ref="AL2:AN2"/>
    <mergeCell ref="L2:L3"/>
    <mergeCell ref="M2:M3"/>
    <mergeCell ref="K2:K3"/>
    <mergeCell ref="A1:H1"/>
    <mergeCell ref="I1:M1"/>
    <mergeCell ref="AF1:AN1"/>
    <mergeCell ref="AO1:AP1"/>
    <mergeCell ref="A2:A3"/>
    <mergeCell ref="B2:B3"/>
    <mergeCell ref="C2:C3"/>
    <mergeCell ref="D2:D3"/>
    <mergeCell ref="E2:E3"/>
    <mergeCell ref="F2:F3"/>
    <mergeCell ref="G2:G3"/>
    <mergeCell ref="AO2:AO3"/>
    <mergeCell ref="AP2:AP3"/>
    <mergeCell ref="I2:I3"/>
    <mergeCell ref="AI2:AK2"/>
    <mergeCell ref="H2:H3"/>
  </mergeCells>
  <phoneticPr fontId="6" type="noConversion"/>
  <hyperlinks>
    <hyperlink ref="H6" r:id="rId1" xr:uid="{A789B875-3634-5A48-96E4-6E7BD6334CF5}"/>
    <hyperlink ref="H7" r:id="rId2" xr:uid="{006526A6-D1CC-C446-A1F2-E24721879D04}"/>
    <hyperlink ref="H8" r:id="rId3" xr:uid="{84180B5B-73CF-3F44-839F-8CF5B278CF2C}"/>
    <hyperlink ref="H10" r:id="rId4" xr:uid="{F4EABE8F-47BA-1049-A569-302A0F9CF329}"/>
    <hyperlink ref="H13" r:id="rId5" xr:uid="{9955AC8C-6BA1-A843-9BFE-A5DB0ACE9242}"/>
    <hyperlink ref="H18" r:id="rId6" xr:uid="{211A6AC0-FDFF-764B-8B46-D280C81D75DF}"/>
    <hyperlink ref="H19" r:id="rId7" xr:uid="{3DF8FC46-2078-7440-A4CE-BD6E08478AA9}"/>
    <hyperlink ref="H20" r:id="rId8" xr:uid="{93AE2201-2C1F-704C-8041-1D9788BDBD5F}"/>
    <hyperlink ref="H29" r:id="rId9" xr:uid="{B12DA7A9-DD1D-1849-A401-CD3CA279ADE2}"/>
    <hyperlink ref="H30" r:id="rId10" xr:uid="{24D12A92-D2DA-AB47-8EB7-C1B56540E137}"/>
    <hyperlink ref="H31" r:id="rId11" xr:uid="{7C527B4D-4379-F54D-9172-4776CF1E2A1F}"/>
    <hyperlink ref="H35" r:id="rId12" xr:uid="{30B7F2B3-932F-7440-922A-DF0CCFA94339}"/>
    <hyperlink ref="H39" r:id="rId13" xr:uid="{E93FBC80-7728-2647-9AD4-AEC5B593F091}"/>
    <hyperlink ref="H41" r:id="rId14" xr:uid="{D91D3A6B-60DD-5244-89EB-3FF73ED915CE}"/>
    <hyperlink ref="H42" r:id="rId15" xr:uid="{2F26874E-E36E-5B4A-A413-3468B9C79442}"/>
    <hyperlink ref="H43" r:id="rId16" xr:uid="{793B32A7-9074-F74E-A278-71082380414D}"/>
    <hyperlink ref="H46" r:id="rId17" xr:uid="{6F391BAE-A365-FD4F-9E93-DF001C95CD92}"/>
    <hyperlink ref="H51" r:id="rId18" xr:uid="{D6D273C3-C8E8-C541-8EEF-5D7A36CECCD9}"/>
    <hyperlink ref="H52" r:id="rId19" display="https://doi.org/10.1111/disa.12539" xr:uid="{4B8A2ED0-A04E-8D4D-9D3F-6E7F21808695}"/>
    <hyperlink ref="H4" r:id="rId20" xr:uid="{D6D072EC-480A-6F4A-939F-8FB9E6C96E00}"/>
    <hyperlink ref="H5" r:id="rId21" xr:uid="{5FDAFA9D-8B06-6C45-AE25-BC1B2BD71E7E}"/>
    <hyperlink ref="H9" r:id="rId22" xr:uid="{F3799DC7-57A4-BB42-AFD4-45F7ACD9E138}"/>
    <hyperlink ref="H11" r:id="rId23" xr:uid="{B54BAB9A-8783-5949-987E-F728DDB7C72D}"/>
    <hyperlink ref="H12" r:id="rId24" xr:uid="{0D341F4B-F2C1-B14D-9138-B4F6A4CC74ED}"/>
    <hyperlink ref="H14" r:id="rId25" xr:uid="{0150BB01-747C-724C-8C78-6BFC8B5379C3}"/>
    <hyperlink ref="H16" r:id="rId26" xr:uid="{16A38DB3-6A73-9E4E-9780-A4ECA4AC1135}"/>
    <hyperlink ref="H47" r:id="rId27" xr:uid="{48C65E05-66C3-F84C-91DB-51AC8F2901EA}"/>
    <hyperlink ref="H53" r:id="rId28" xr:uid="{A0BACCFD-B2C3-FD49-9BC2-28DB9D68B87B}"/>
    <hyperlink ref="H54" r:id="rId29" xr:uid="{0744AE41-85EB-474F-BF6C-DFDBA75AC6A9}"/>
    <hyperlink ref="H55" r:id="rId30" xr:uid="{4AA90F0A-C203-2D49-88C6-0C4902320CD2}"/>
    <hyperlink ref="H56" r:id="rId31" xr:uid="{244E64B5-9D20-7D4F-BE2A-6BE4EFFCC19F}"/>
    <hyperlink ref="H45" r:id="rId32" tooltip="Persistent link using digital object identifier" xr:uid="{80A4253E-973B-6845-AEBC-634B9C954585}"/>
    <hyperlink ref="H22" r:id="rId33" xr:uid="{580B8D5D-9F34-4C43-B2FC-51B074D170C7}"/>
    <hyperlink ref="H24" r:id="rId34" xr:uid="{387F3B23-3F9E-AC4F-ABB7-F9E764D65B19}"/>
    <hyperlink ref="H25" r:id="rId35" xr:uid="{9EB1898D-AC1D-7A4B-B5F2-751E9AA28DAC}"/>
    <hyperlink ref="H26" r:id="rId36" xr:uid="{F2A0DB3A-BFDC-C44F-B887-7126C98436EF}"/>
    <hyperlink ref="H28" r:id="rId37" xr:uid="{ECC8704D-60AB-7746-BB6F-13E5AF278331}"/>
    <hyperlink ref="H32" r:id="rId38" xr:uid="{84F83D75-AF6A-504C-A34D-5D87AC5DA47A}"/>
    <hyperlink ref="H33" r:id="rId39" xr:uid="{B8FBC355-78B4-2D42-AE1E-14B3677E57BF}"/>
    <hyperlink ref="H36" r:id="rId40" xr:uid="{411EFD67-8A52-3044-95A3-7DA2A20ADD0C}"/>
    <hyperlink ref="H38" r:id="rId41" xr:uid="{ECBD88F4-2107-784A-B434-465AC06E6180}"/>
  </hyperlinks>
  <pageMargins left="0.7" right="0.7" top="0.75" bottom="0.75" header="0.3" footer="0.3"/>
  <pageSetup paperSize="9" orientation="portrait" horizontalDpi="0" verticalDpi="0"/>
  <ignoredErrors>
    <ignoredError sqref="D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F98906-0D6A-D341-A68E-A10D547654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IPLC_NbS_SIDS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Phoebe Smith</dc:creator>
  <cp:lastModifiedBy>Phoebe Smith</cp:lastModifiedBy>
  <dcterms:created xsi:type="dcterms:W3CDTF">2025-11-17T10:28:42Z</dcterms:created>
  <dcterms:modified xsi:type="dcterms:W3CDTF">2026-06-04T20:05:12Z</dcterms:modified>
</cp:coreProperties>
</file>